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tral" sheetId="1" state="visible" r:id="rId1"/>
    <sheet xmlns:r="http://schemas.openxmlformats.org/officeDocument/2006/relationships" name="Downside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Comment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Inter"/>
      <b val="1"/>
      <color rgb="00410F37"/>
      <sz val="14"/>
    </font>
    <font>
      <name val="Inter"/>
      <i val="1"/>
      <color rgb="00410F37"/>
      <sz val="9"/>
    </font>
    <font>
      <name val="Inter"/>
      <b val="1"/>
      <color rgb="00FFFFFF"/>
      <sz val="11"/>
    </font>
    <font>
      <name val="Inter"/>
      <b val="1"/>
      <color rgb="00410F37"/>
      <sz val="10"/>
    </font>
    <font>
      <name val="Inter"/>
      <color rgb="00410F37"/>
      <sz val="10"/>
    </font>
    <font>
      <name val="Inter"/>
      <b val="1"/>
      <color rgb="00E12D64"/>
      <sz val="14"/>
    </font>
    <font>
      <name val="Inter"/>
      <color rgb="00410F37"/>
      <sz val="11"/>
    </font>
    <font>
      <name val="Inter"/>
      <b val="1"/>
      <color rgb="00410F37"/>
      <sz val="11"/>
    </font>
  </fonts>
  <fills count="6">
    <fill>
      <patternFill/>
    </fill>
    <fill>
      <patternFill patternType="gray125"/>
    </fill>
    <fill>
      <patternFill patternType="solid">
        <fgColor rgb="00410F37"/>
      </patternFill>
    </fill>
    <fill>
      <patternFill patternType="solid">
        <fgColor rgb="00F5E9F0"/>
      </patternFill>
    </fill>
    <fill>
      <patternFill patternType="solid">
        <fgColor rgb="0096FF14"/>
      </patternFill>
    </fill>
    <fill>
      <patternFill patternType="solid">
        <fgColor rgb="00FBE3EC"/>
      </patternFill>
    </fill>
  </fills>
  <borders count="2">
    <border>
      <left/>
      <right/>
      <top/>
      <bottom/>
      <diagonal/>
    </border>
    <border>
      <left style="thin">
        <color rgb="00410F37"/>
      </left>
      <right style="thin">
        <color rgb="00410F37"/>
      </right>
      <top style="thin">
        <color rgb="00410F37"/>
      </top>
      <bottom style="thin">
        <color rgb="00410F3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4" fillId="4" borderId="0" pivotButton="0" quotePrefix="0" xfId="0"/>
    <xf numFmtId="0" fontId="6" fillId="0" borderId="0" pivotButton="0" quotePrefix="0" xfId="0"/>
    <xf numFmtId="0" fontId="3" fillId="2" borderId="0" pivotButton="0" quotePrefix="0" xfId="0"/>
    <xf numFmtId="0" fontId="4" fillId="5" borderId="0" pivotButton="0" quotePrefix="0" xfId="0"/>
    <xf numFmtId="0" fontId="5" fillId="0" borderId="0" applyAlignment="1" pivotButton="0" quotePrefix="0" xfId="0">
      <alignment vertical="top" wrapText="1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cols>
    <col width="50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</cols>
  <sheetData>
    <row r="1">
      <c r="A1" s="1" t="inlineStr">
        <is>
          <t>hūmānus — 12-month rolling cash flow (Jun 2026 – May 2027)</t>
        </is>
      </c>
    </row>
    <row r="2">
      <c r="A2" s="2" t="inlineStr">
        <is>
          <t>Central case  ·  As-of 26 May 2026  ·  USD  ·  Opening cash USD 182,801 (Xero live, 25 May 26)</t>
        </is>
      </c>
    </row>
    <row r="4">
      <c r="A4" s="3" t="inlineStr">
        <is>
          <t>Line</t>
        </is>
      </c>
      <c r="B4" s="3" t="inlineStr">
        <is>
          <t>Jun-26</t>
        </is>
      </c>
      <c r="C4" s="3" t="inlineStr">
        <is>
          <t>Jul-26</t>
        </is>
      </c>
      <c r="D4" s="3" t="inlineStr">
        <is>
          <t>Aug-26</t>
        </is>
      </c>
      <c r="E4" s="3" t="inlineStr">
        <is>
          <t>Sep-26</t>
        </is>
      </c>
      <c r="F4" s="3" t="inlineStr">
        <is>
          <t>Oct-26</t>
        </is>
      </c>
      <c r="G4" s="3" t="inlineStr">
        <is>
          <t>Nov-26</t>
        </is>
      </c>
      <c r="H4" s="3" t="inlineStr">
        <is>
          <t>Dec-26</t>
        </is>
      </c>
      <c r="I4" s="3" t="inlineStr">
        <is>
          <t>Jan-27</t>
        </is>
      </c>
      <c r="J4" s="3" t="inlineStr">
        <is>
          <t>Feb-27</t>
        </is>
      </c>
      <c r="K4" s="3" t="inlineStr">
        <is>
          <t>Mar-27</t>
        </is>
      </c>
      <c r="L4" s="3" t="inlineStr">
        <is>
          <t>Apr-27</t>
        </is>
      </c>
      <c r="M4" s="3" t="inlineStr">
        <is>
          <t>May-27</t>
        </is>
      </c>
      <c r="N4" s="3" t="inlineStr">
        <is>
          <t>12-mo Total</t>
        </is>
      </c>
    </row>
    <row r="5">
      <c r="A5" s="4" t="inlineStr">
        <is>
          <t>OPENING CASH</t>
        </is>
      </c>
      <c r="B5" s="4" t="n">
        <v>182801</v>
      </c>
      <c r="C5" s="4">
        <f>B20</f>
        <v/>
      </c>
      <c r="D5" s="4">
        <f>C20</f>
        <v/>
      </c>
      <c r="E5" s="4">
        <f>D20</f>
        <v/>
      </c>
      <c r="F5" s="4">
        <f>E20</f>
        <v/>
      </c>
      <c r="G5" s="4">
        <f>F20</f>
        <v/>
      </c>
      <c r="H5" s="4">
        <f>G20</f>
        <v/>
      </c>
      <c r="I5" s="4">
        <f>H20</f>
        <v/>
      </c>
      <c r="J5" s="4">
        <f>I20</f>
        <v/>
      </c>
      <c r="K5" s="4">
        <f>J20</f>
        <v/>
      </c>
      <c r="L5" s="4">
        <f>K20</f>
        <v/>
      </c>
      <c r="M5" s="4">
        <f>L20</f>
        <v/>
      </c>
      <c r="N5" s="4">
        <f>M20</f>
        <v/>
      </c>
    </row>
    <row r="6">
      <c r="A6" s="5" t="inlineStr">
        <is>
          <t>Inflows</t>
        </is>
      </c>
    </row>
    <row r="7">
      <c r="A7" s="6" t="inlineStr">
        <is>
          <t>OSF #4 Y3 tranche (Jan 2027)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300000</v>
      </c>
      <c r="J7" s="6" t="n">
        <v>0</v>
      </c>
      <c r="K7" s="6" t="n">
        <v>0</v>
      </c>
      <c r="L7" s="6" t="n">
        <v>0</v>
      </c>
      <c r="M7" s="6" t="n">
        <v>0</v>
      </c>
      <c r="N7" s="6">
        <f>SUM(B7:M7)</f>
        <v/>
      </c>
    </row>
    <row r="8">
      <c r="A8" s="6" t="inlineStr">
        <is>
          <t>OSF interest accrual</t>
        </is>
      </c>
      <c r="B8" s="6" t="n">
        <v>200</v>
      </c>
      <c r="C8" s="6" t="n">
        <v>200</v>
      </c>
      <c r="D8" s="6" t="n">
        <v>200</v>
      </c>
      <c r="E8" s="6" t="n">
        <v>200</v>
      </c>
      <c r="F8" s="6" t="n">
        <v>200</v>
      </c>
      <c r="G8" s="6" t="n">
        <v>200</v>
      </c>
      <c r="H8" s="6" t="n">
        <v>200</v>
      </c>
      <c r="I8" s="6" t="n">
        <v>200</v>
      </c>
      <c r="J8" s="6" t="n">
        <v>200</v>
      </c>
      <c r="K8" s="6" t="n">
        <v>200</v>
      </c>
      <c r="L8" s="6" t="n">
        <v>200</v>
      </c>
      <c r="M8" s="6" t="n">
        <v>200</v>
      </c>
      <c r="N8" s="6">
        <f>SUM(B8:M8)</f>
        <v/>
      </c>
    </row>
    <row r="9">
      <c r="A9" s="6" t="inlineStr">
        <is>
          <t>Swiss Dhaka final (§4.1, CHF→USD)</t>
        </is>
      </c>
      <c r="B9" s="6" t="n">
        <v>0</v>
      </c>
      <c r="C9" s="6" t="n">
        <v>0</v>
      </c>
      <c r="D9" s="6" t="n">
        <v>0</v>
      </c>
      <c r="E9" s="6" t="n">
        <v>25000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>
        <f>SUM(B9:M9)</f>
        <v/>
      </c>
    </row>
    <row r="10">
      <c r="A10" s="6" t="inlineStr">
        <is>
          <t>Stimson Swiss Y1 (§3.3 30 Jun 26)</t>
        </is>
      </c>
      <c r="B10" s="6" t="n">
        <v>24947</v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>
        <f>SUM(B10:M10)</f>
        <v/>
      </c>
    </row>
    <row r="11">
      <c r="A11" s="6" t="inlineStr">
        <is>
          <t>Stimson Swiss Y2 mid (§3.3, pull-fwd request)</t>
        </is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24947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>
        <f>SUM(B11:M11)</f>
        <v/>
      </c>
    </row>
    <row r="12">
      <c r="A12" s="6" t="inlineStr">
        <is>
          <t>Stimson Swiss Y2 end (§3.3 30 Jun 27)</t>
        </is>
      </c>
      <c r="B12" s="6" t="n">
        <v>0</v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24947</v>
      </c>
      <c r="N12" s="6">
        <f>SUM(B12:M12)</f>
        <v/>
      </c>
    </row>
    <row r="13">
      <c r="A13" s="6" t="inlineStr">
        <is>
          <t>FCDO Phase II — first tranche (unsigned, target end-Jul sign)</t>
        </is>
      </c>
      <c r="B13" s="6" t="n">
        <v>0</v>
      </c>
      <c r="C13" s="6" t="n">
        <v>0</v>
      </c>
      <c r="D13" s="6" t="n">
        <v>53000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>
        <f>SUM(B13:M13)</f>
        <v/>
      </c>
    </row>
    <row r="14">
      <c r="A14" s="6" t="inlineStr">
        <is>
          <t>FCDO Phase II — milestone 2 (unsigned)</t>
        </is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53400</v>
      </c>
      <c r="L14" s="6" t="n">
        <v>0</v>
      </c>
      <c r="M14" s="6" t="n">
        <v>0</v>
      </c>
      <c r="N14" s="6">
        <f>SUM(B14:M14)</f>
        <v/>
      </c>
    </row>
    <row r="15">
      <c r="A15" s="5" t="inlineStr">
        <is>
          <t>Total inflows</t>
        </is>
      </c>
      <c r="B15" s="4">
        <f>SUM(B7:B14)</f>
        <v/>
      </c>
      <c r="C15" s="4">
        <f>SUM(C7:C14)</f>
        <v/>
      </c>
      <c r="D15" s="4">
        <f>SUM(D7:D14)</f>
        <v/>
      </c>
      <c r="E15" s="4">
        <f>SUM(E7:E14)</f>
        <v/>
      </c>
      <c r="F15" s="4">
        <f>SUM(F7:F14)</f>
        <v/>
      </c>
      <c r="G15" s="4">
        <f>SUM(G7:G14)</f>
        <v/>
      </c>
      <c r="H15" s="4">
        <f>SUM(H7:H14)</f>
        <v/>
      </c>
      <c r="I15" s="4">
        <f>SUM(I7:I14)</f>
        <v/>
      </c>
      <c r="J15" s="4">
        <f>SUM(J7:J14)</f>
        <v/>
      </c>
      <c r="K15" s="4">
        <f>SUM(K7:K14)</f>
        <v/>
      </c>
      <c r="L15" s="4">
        <f>SUM(L7:L14)</f>
        <v/>
      </c>
      <c r="M15" s="4">
        <f>SUM(M7:M14)</f>
        <v/>
      </c>
      <c r="N15" s="4">
        <f>SUM(N7:N14)</f>
        <v/>
      </c>
    </row>
    <row r="16">
      <c r="A16" s="5" t="inlineStr">
        <is>
          <t>Outflows</t>
        </is>
      </c>
    </row>
    <row r="17">
      <c r="A17" s="6" t="inlineStr">
        <is>
          <t>Run-rate spend (Cost of Sales + Overhead)</t>
        </is>
      </c>
      <c r="B17" s="6" t="n">
        <v>-45000</v>
      </c>
      <c r="C17" s="6" t="n">
        <v>-45000</v>
      </c>
      <c r="D17" s="6" t="n">
        <v>-45000</v>
      </c>
      <c r="E17" s="6" t="n">
        <v>-45000</v>
      </c>
      <c r="F17" s="6" t="n">
        <v>-45000</v>
      </c>
      <c r="G17" s="6" t="n">
        <v>-45000</v>
      </c>
      <c r="H17" s="6" t="n">
        <v>-45000</v>
      </c>
      <c r="I17" s="6" t="n">
        <v>-45000</v>
      </c>
      <c r="J17" s="6" t="n">
        <v>-45000</v>
      </c>
      <c r="K17" s="6" t="n">
        <v>-45000</v>
      </c>
      <c r="L17" s="6" t="n">
        <v>-45000</v>
      </c>
      <c r="M17" s="6" t="n">
        <v>-45000</v>
      </c>
      <c r="N17" s="6">
        <f>SUM(B17:M17)</f>
        <v/>
      </c>
    </row>
    <row r="18">
      <c r="A18" s="5" t="inlineStr">
        <is>
          <t>Total outflows</t>
        </is>
      </c>
      <c r="B18" s="4">
        <f>SUM(B17:B17)</f>
        <v/>
      </c>
      <c r="C18" s="4">
        <f>SUM(C17:C17)</f>
        <v/>
      </c>
      <c r="D18" s="4">
        <f>SUM(D17:D17)</f>
        <v/>
      </c>
      <c r="E18" s="4">
        <f>SUM(E17:E17)</f>
        <v/>
      </c>
      <c r="F18" s="4">
        <f>SUM(F17:F17)</f>
        <v/>
      </c>
      <c r="G18" s="4">
        <f>SUM(G17:G17)</f>
        <v/>
      </c>
      <c r="H18" s="4">
        <f>SUM(H17:H17)</f>
        <v/>
      </c>
      <c r="I18" s="4">
        <f>SUM(I17:I17)</f>
        <v/>
      </c>
      <c r="J18" s="4">
        <f>SUM(J17:J17)</f>
        <v/>
      </c>
      <c r="K18" s="4">
        <f>SUM(K17:K17)</f>
        <v/>
      </c>
      <c r="L18" s="4">
        <f>SUM(L17:L17)</f>
        <v/>
      </c>
      <c r="M18" s="4">
        <f>SUM(M17:M17)</f>
        <v/>
      </c>
      <c r="N18" s="4">
        <f>SUM(N17:N17)</f>
        <v/>
      </c>
    </row>
    <row r="19">
      <c r="A19" s="4" t="inlineStr">
        <is>
          <t>Net cash movement</t>
        </is>
      </c>
      <c r="B19" s="4">
        <f>B15+B18</f>
        <v/>
      </c>
      <c r="C19" s="4">
        <f>C15+C18</f>
        <v/>
      </c>
      <c r="D19" s="4">
        <f>D15+D18</f>
        <v/>
      </c>
      <c r="E19" s="4">
        <f>E15+E18</f>
        <v/>
      </c>
      <c r="F19" s="4">
        <f>F15+F18</f>
        <v/>
      </c>
      <c r="G19" s="4">
        <f>G15+G18</f>
        <v/>
      </c>
      <c r="H19" s="4">
        <f>H15+H18</f>
        <v/>
      </c>
      <c r="I19" s="4">
        <f>I15+I18</f>
        <v/>
      </c>
      <c r="J19" s="4">
        <f>J15+J18</f>
        <v/>
      </c>
      <c r="K19" s="4">
        <f>K15+K18</f>
        <v/>
      </c>
      <c r="L19" s="4">
        <f>L15+L18</f>
        <v/>
      </c>
      <c r="M19" s="4">
        <f>M15+M18</f>
        <v/>
      </c>
      <c r="N19" s="4">
        <f>N15+N18</f>
        <v/>
      </c>
    </row>
    <row r="20">
      <c r="A20" s="7" t="inlineStr">
        <is>
          <t>CLOSING CASH</t>
        </is>
      </c>
      <c r="B20" s="4">
        <f>B5+B19</f>
        <v/>
      </c>
      <c r="C20" s="4">
        <f>B20+C19</f>
        <v/>
      </c>
      <c r="D20" s="4">
        <f>C20+D19</f>
        <v/>
      </c>
      <c r="E20" s="4">
        <f>D20+E19</f>
        <v/>
      </c>
      <c r="F20" s="4">
        <f>E20+F19</f>
        <v/>
      </c>
      <c r="G20" s="4">
        <f>F20+G19</f>
        <v/>
      </c>
      <c r="H20" s="4">
        <f>G20+H19</f>
        <v/>
      </c>
      <c r="I20" s="4">
        <f>H20+I19</f>
        <v/>
      </c>
      <c r="J20" s="4">
        <f>I20+J19</f>
        <v/>
      </c>
      <c r="K20" s="4">
        <f>J20+K19</f>
        <v/>
      </c>
      <c r="L20" s="4">
        <f>K20+L19</f>
        <v/>
      </c>
      <c r="M20" s="4">
        <f>L20+M19</f>
        <v/>
      </c>
      <c r="N20" s="4">
        <f>B5+SUM(B19:M19)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50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</cols>
  <sheetData>
    <row r="1">
      <c r="A1" s="8" t="inlineStr">
        <is>
          <t>Downside scenario — FCDO Phase II slips to 2027; SDC final delayed</t>
        </is>
      </c>
    </row>
    <row r="2">
      <c r="A2" s="2" t="inlineStr">
        <is>
          <t>Downside  ·  As-of 26 May 2026  ·  USD  ·  Opening cash USD 182,801</t>
        </is>
      </c>
    </row>
    <row r="4">
      <c r="A4" s="9" t="inlineStr">
        <is>
          <t>Line</t>
        </is>
      </c>
      <c r="B4" s="9" t="inlineStr">
        <is>
          <t>Jun-26</t>
        </is>
      </c>
      <c r="C4" s="9" t="inlineStr">
        <is>
          <t>Jul-26</t>
        </is>
      </c>
      <c r="D4" s="9" t="inlineStr">
        <is>
          <t>Aug-26</t>
        </is>
      </c>
      <c r="E4" s="9" t="inlineStr">
        <is>
          <t>Sep-26</t>
        </is>
      </c>
      <c r="F4" s="9" t="inlineStr">
        <is>
          <t>Oct-26</t>
        </is>
      </c>
      <c r="G4" s="9" t="inlineStr">
        <is>
          <t>Nov-26</t>
        </is>
      </c>
      <c r="H4" s="9" t="inlineStr">
        <is>
          <t>Dec-26</t>
        </is>
      </c>
      <c r="I4" s="9" t="inlineStr">
        <is>
          <t>Jan-27</t>
        </is>
      </c>
      <c r="J4" s="9" t="inlineStr">
        <is>
          <t>Feb-27</t>
        </is>
      </c>
      <c r="K4" s="9" t="inlineStr">
        <is>
          <t>Mar-27</t>
        </is>
      </c>
      <c r="L4" s="9" t="inlineStr">
        <is>
          <t>Apr-27</t>
        </is>
      </c>
      <c r="M4" s="9" t="inlineStr">
        <is>
          <t>May-27</t>
        </is>
      </c>
      <c r="N4" s="9" t="inlineStr">
        <is>
          <t>12-mo Total</t>
        </is>
      </c>
    </row>
    <row r="5">
      <c r="A5" s="4" t="inlineStr">
        <is>
          <t>OPENING CASH</t>
        </is>
      </c>
      <c r="B5" s="4" t="n">
        <v>182801</v>
      </c>
      <c r="C5" s="4">
        <f>B19</f>
        <v/>
      </c>
      <c r="D5" s="4">
        <f>C19</f>
        <v/>
      </c>
      <c r="E5" s="4">
        <f>D19</f>
        <v/>
      </c>
      <c r="F5" s="4">
        <f>E19</f>
        <v/>
      </c>
      <c r="G5" s="4">
        <f>F19</f>
        <v/>
      </c>
      <c r="H5" s="4">
        <f>G19</f>
        <v/>
      </c>
      <c r="I5" s="4">
        <f>H19</f>
        <v/>
      </c>
      <c r="J5" s="4">
        <f>I19</f>
        <v/>
      </c>
      <c r="K5" s="4">
        <f>J19</f>
        <v/>
      </c>
      <c r="L5" s="4">
        <f>K19</f>
        <v/>
      </c>
      <c r="M5" s="4">
        <f>L19</f>
        <v/>
      </c>
      <c r="N5" s="4">
        <f>M19</f>
        <v/>
      </c>
    </row>
    <row r="6">
      <c r="A6" s="5" t="inlineStr">
        <is>
          <t>Inflows</t>
        </is>
      </c>
    </row>
    <row r="7">
      <c r="A7" s="6" t="inlineStr">
        <is>
          <t>OSF #4 Y3 tranche (Jan 2027)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300000</v>
      </c>
      <c r="J7" s="6" t="n">
        <v>0</v>
      </c>
      <c r="K7" s="6" t="n">
        <v>0</v>
      </c>
      <c r="L7" s="6" t="n">
        <v>0</v>
      </c>
      <c r="M7" s="6" t="n">
        <v>0</v>
      </c>
      <c r="N7" s="6">
        <f>SUM(B7:M7)</f>
        <v/>
      </c>
    </row>
    <row r="8">
      <c r="A8" s="6" t="inlineStr">
        <is>
          <t>OSF interest accrual</t>
        </is>
      </c>
      <c r="B8" s="6" t="n">
        <v>200</v>
      </c>
      <c r="C8" s="6" t="n">
        <v>200</v>
      </c>
      <c r="D8" s="6" t="n">
        <v>200</v>
      </c>
      <c r="E8" s="6" t="n">
        <v>200</v>
      </c>
      <c r="F8" s="6" t="n">
        <v>200</v>
      </c>
      <c r="G8" s="6" t="n">
        <v>200</v>
      </c>
      <c r="H8" s="6" t="n">
        <v>200</v>
      </c>
      <c r="I8" s="6" t="n">
        <v>200</v>
      </c>
      <c r="J8" s="6" t="n">
        <v>200</v>
      </c>
      <c r="K8" s="6" t="n">
        <v>200</v>
      </c>
      <c r="L8" s="6" t="n">
        <v>200</v>
      </c>
      <c r="M8" s="6" t="n">
        <v>200</v>
      </c>
      <c r="N8" s="6">
        <f>SUM(B8:M8)</f>
        <v/>
      </c>
    </row>
    <row r="9">
      <c r="A9" s="6" t="inlineStr">
        <is>
          <t>Swiss Dhaka final (SLIPS to Q1 2027)</t>
        </is>
      </c>
      <c r="B9" s="6" t="n">
        <v>0</v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25000</v>
      </c>
      <c r="K9" s="6" t="n">
        <v>0</v>
      </c>
      <c r="L9" s="6" t="n">
        <v>0</v>
      </c>
      <c r="M9" s="6" t="n">
        <v>0</v>
      </c>
      <c r="N9" s="6">
        <f>SUM(B9:M9)</f>
        <v/>
      </c>
    </row>
    <row r="10">
      <c r="A10" s="6" t="inlineStr">
        <is>
          <t>Stimson Swiss Y1 (§3.3 30 Jun 26)</t>
        </is>
      </c>
      <c r="B10" s="6" t="n">
        <v>24947</v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>
        <f>SUM(B10:M10)</f>
        <v/>
      </c>
    </row>
    <row r="11">
      <c r="A11" s="6" t="inlineStr">
        <is>
          <t>Stimson Swiss Y2 mid (§3.3 contractual)</t>
        </is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24947</v>
      </c>
      <c r="J11" s="6" t="n">
        <v>0</v>
      </c>
      <c r="K11" s="6" t="n">
        <v>0</v>
      </c>
      <c r="L11" s="6" t="n">
        <v>0</v>
      </c>
      <c r="M11" s="6" t="n">
        <v>0</v>
      </c>
      <c r="N11" s="6">
        <f>SUM(B11:M11)</f>
        <v/>
      </c>
    </row>
    <row r="12">
      <c r="A12" s="6" t="inlineStr">
        <is>
          <t>Stimson Swiss Y2 end (§3.3 30 Jun 27)</t>
        </is>
      </c>
      <c r="B12" s="6" t="n">
        <v>0</v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24947</v>
      </c>
      <c r="N12" s="6">
        <f>SUM(B12:M12)</f>
        <v/>
      </c>
    </row>
    <row r="13">
      <c r="A13" s="6" t="inlineStr">
        <is>
          <t>FCDO Phase II — NOT contracted (excluded)</t>
        </is>
      </c>
      <c r="B13" s="6" t="n">
        <v>0</v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>
        <f>SUM(B13:M13)</f>
        <v/>
      </c>
    </row>
    <row r="14">
      <c r="A14" s="5" t="inlineStr">
        <is>
          <t>Total inflows</t>
        </is>
      </c>
      <c r="B14" s="4">
        <f>SUM(B7:B13)</f>
        <v/>
      </c>
      <c r="C14" s="4">
        <f>SUM(C7:C13)</f>
        <v/>
      </c>
      <c r="D14" s="4">
        <f>SUM(D7:D13)</f>
        <v/>
      </c>
      <c r="E14" s="4">
        <f>SUM(E7:E13)</f>
        <v/>
      </c>
      <c r="F14" s="4">
        <f>SUM(F7:F13)</f>
        <v/>
      </c>
      <c r="G14" s="4">
        <f>SUM(G7:G13)</f>
        <v/>
      </c>
      <c r="H14" s="4">
        <f>SUM(H7:H13)</f>
        <v/>
      </c>
      <c r="I14" s="4">
        <f>SUM(I7:I13)</f>
        <v/>
      </c>
      <c r="J14" s="4">
        <f>SUM(J7:J13)</f>
        <v/>
      </c>
      <c r="K14" s="4">
        <f>SUM(K7:K13)</f>
        <v/>
      </c>
      <c r="L14" s="4">
        <f>SUM(L7:L13)</f>
        <v/>
      </c>
      <c r="M14" s="4">
        <f>SUM(M7:M13)</f>
        <v/>
      </c>
      <c r="N14" s="4">
        <f>SUM(N7:N13)</f>
        <v/>
      </c>
    </row>
    <row r="15">
      <c r="A15" s="5" t="inlineStr">
        <is>
          <t>Outflows</t>
        </is>
      </c>
    </row>
    <row r="16">
      <c r="A16" s="6" t="inlineStr">
        <is>
          <t>Run-rate spend (Cost of Sales + Overhead)</t>
        </is>
      </c>
      <c r="B16" s="6" t="n">
        <v>-45000</v>
      </c>
      <c r="C16" s="6" t="n">
        <v>-45000</v>
      </c>
      <c r="D16" s="6" t="n">
        <v>-45000</v>
      </c>
      <c r="E16" s="6" t="n">
        <v>-45000</v>
      </c>
      <c r="F16" s="6" t="n">
        <v>-45000</v>
      </c>
      <c r="G16" s="6" t="n">
        <v>-45000</v>
      </c>
      <c r="H16" s="6" t="n">
        <v>-45000</v>
      </c>
      <c r="I16" s="6" t="n">
        <v>-45000</v>
      </c>
      <c r="J16" s="6" t="n">
        <v>-45000</v>
      </c>
      <c r="K16" s="6" t="n">
        <v>-45000</v>
      </c>
      <c r="L16" s="6" t="n">
        <v>-45000</v>
      </c>
      <c r="M16" s="6" t="n">
        <v>-45000</v>
      </c>
      <c r="N16" s="6">
        <f>SUM(B16:M16)</f>
        <v/>
      </c>
    </row>
    <row r="17">
      <c r="A17" s="5" t="inlineStr">
        <is>
          <t>Total outflows</t>
        </is>
      </c>
      <c r="B17" s="4">
        <f>SUM(B16:B16)</f>
        <v/>
      </c>
      <c r="C17" s="4">
        <f>SUM(C16:C16)</f>
        <v/>
      </c>
      <c r="D17" s="4">
        <f>SUM(D16:D16)</f>
        <v/>
      </c>
      <c r="E17" s="4">
        <f>SUM(E16:E16)</f>
        <v/>
      </c>
      <c r="F17" s="4">
        <f>SUM(F16:F16)</f>
        <v/>
      </c>
      <c r="G17" s="4">
        <f>SUM(G16:G16)</f>
        <v/>
      </c>
      <c r="H17" s="4">
        <f>SUM(H16:H16)</f>
        <v/>
      </c>
      <c r="I17" s="4">
        <f>SUM(I16:I16)</f>
        <v/>
      </c>
      <c r="J17" s="4">
        <f>SUM(J16:J16)</f>
        <v/>
      </c>
      <c r="K17" s="4">
        <f>SUM(K16:K16)</f>
        <v/>
      </c>
      <c r="L17" s="4">
        <f>SUM(L16:L16)</f>
        <v/>
      </c>
      <c r="M17" s="4">
        <f>SUM(M16:M16)</f>
        <v/>
      </c>
      <c r="N17" s="4">
        <f>SUM(N16:N16)</f>
        <v/>
      </c>
    </row>
    <row r="18">
      <c r="A18" s="4" t="inlineStr">
        <is>
          <t>Net cash movement</t>
        </is>
      </c>
      <c r="B18" s="4">
        <f>B14+B17</f>
        <v/>
      </c>
      <c r="C18" s="4">
        <f>C14+C17</f>
        <v/>
      </c>
      <c r="D18" s="4">
        <f>D14+D17</f>
        <v/>
      </c>
      <c r="E18" s="4">
        <f>E14+E17</f>
        <v/>
      </c>
      <c r="F18" s="4">
        <f>F14+F17</f>
        <v/>
      </c>
      <c r="G18" s="4">
        <f>G14+G17</f>
        <v/>
      </c>
      <c r="H18" s="4">
        <f>H14+H17</f>
        <v/>
      </c>
      <c r="I18" s="4">
        <f>I14+I17</f>
        <v/>
      </c>
      <c r="J18" s="4">
        <f>J14+J17</f>
        <v/>
      </c>
      <c r="K18" s="4">
        <f>K14+K17</f>
        <v/>
      </c>
      <c r="L18" s="4">
        <f>L14+L17</f>
        <v/>
      </c>
      <c r="M18" s="4">
        <f>M14+M17</f>
        <v/>
      </c>
      <c r="N18" s="4">
        <f>N14+N17</f>
        <v/>
      </c>
    </row>
    <row r="19">
      <c r="A19" s="10" t="inlineStr">
        <is>
          <t>CLOSING CASH</t>
        </is>
      </c>
      <c r="B19" s="4">
        <f>B5+B18</f>
        <v/>
      </c>
      <c r="C19" s="4">
        <f>B19+C18</f>
        <v/>
      </c>
      <c r="D19" s="4">
        <f>C19+D18</f>
        <v/>
      </c>
      <c r="E19" s="4">
        <f>D19+E18</f>
        <v/>
      </c>
      <c r="F19" s="4">
        <f>E19+F18</f>
        <v/>
      </c>
      <c r="G19" s="4">
        <f>F19+G18</f>
        <v/>
      </c>
      <c r="H19" s="4">
        <f>G19+H18</f>
        <v/>
      </c>
      <c r="I19" s="4">
        <f>H19+I18</f>
        <v/>
      </c>
      <c r="J19" s="4">
        <f>I19+J18</f>
        <v/>
      </c>
      <c r="K19" s="4">
        <f>J19+K18</f>
        <v/>
      </c>
      <c r="L19" s="4">
        <f>K19+L18</f>
        <v/>
      </c>
      <c r="M19" s="4">
        <f>L19+M18</f>
        <v/>
      </c>
      <c r="N19" s="4">
        <f>B5+SUM(B18:M18)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60" customWidth="1" min="3" max="3"/>
  </cols>
  <sheetData>
    <row r="1">
      <c r="A1" s="1" t="inlineStr">
        <is>
          <t>Assumptions &amp; sources — 12-month rolling cash flow</t>
        </is>
      </c>
    </row>
    <row r="3">
      <c r="A3" s="9" t="inlineStr">
        <is>
          <t>Assumption</t>
        </is>
      </c>
      <c r="B3" s="9" t="inlineStr">
        <is>
          <t>Value</t>
        </is>
      </c>
      <c r="C3" s="9" t="inlineStr">
        <is>
          <t>Source / clause</t>
        </is>
      </c>
    </row>
    <row r="4">
      <c r="A4" s="11" t="inlineStr">
        <is>
          <t>Opening cash (25 May 2026)</t>
        </is>
      </c>
      <c r="B4" s="11" t="inlineStr">
        <is>
          <t>USD 182,801 (Wise USD 173,360 + EUR 9,436 + GBP 0)</t>
        </is>
      </c>
      <c r="C4" s="11" t="inlineStr">
        <is>
          <t>Xero Bank Summary 1 Jan – 25 May 2026; report ID 804d1ade-c575-4c7d-b709-f838b43941a0</t>
        </is>
      </c>
    </row>
    <row r="5">
      <c r="A5" s="11" t="inlineStr">
        <is>
          <t>Run-rate spend (central + downside)</t>
        </is>
      </c>
      <c r="B5" s="11" t="inlineStr">
        <is>
          <t>USD 45,000 / month flat</t>
        </is>
      </c>
      <c r="C5" s="11" t="inlineStr">
        <is>
          <t>Calibrated to YTD cash-spent USD 204,115 ÷ 4.6 months = USD 44,373/mo (CAP-147 v2)</t>
        </is>
      </c>
    </row>
    <row r="6">
      <c r="A6" s="11" t="inlineStr">
        <is>
          <t>OSF #4 Year-3 tranche</t>
        </is>
      </c>
      <c r="B6" s="11" t="inlineStr">
        <is>
          <t>USD 300,000 in Jan 2027</t>
        </is>
      </c>
      <c r="C6" s="11" t="inlineStr">
        <is>
          <t>Per OR2024-94840 schedule of five tranches Dec 2024 / Jan 2026-29; signed 26 Oct 2024</t>
        </is>
      </c>
    </row>
    <row r="7">
      <c r="A7" s="11" t="inlineStr">
        <is>
          <t>SDC Swiss Dhaka final tranche</t>
        </is>
      </c>
      <c r="B7" s="11" t="inlineStr">
        <is>
          <t>Max CHF 22,788.10 ≈ USD 25,000 — central: Sep 2026; downside: Mar 2027</t>
        </is>
      </c>
      <c r="C7" s="11" t="inlineStr">
        <is>
          <t>Per SDC Art 4.1 — gated by §3.1 final reports (due 30 Jun 2026) + §3.3 audit</t>
        </is>
      </c>
    </row>
    <row r="8">
      <c r="A8" s="11" t="inlineStr">
        <is>
          <t>Stimson Swiss Y1 (Arakan Y1)</t>
        </is>
      </c>
      <c r="B8" s="11" t="inlineStr">
        <is>
          <t>USD 24,946.67 in Jun 2026</t>
        </is>
      </c>
      <c r="C8" s="11" t="inlineStr">
        <is>
          <t>Per Stimson §3.3, due 30 Jun 2026; conditional on FDFA disbursement to Stimson</t>
        </is>
      </c>
    </row>
    <row r="9">
      <c r="A9" s="11" t="inlineStr">
        <is>
          <t>Stimson Swiss Y2 mid</t>
        </is>
      </c>
      <c r="B9" s="11" t="inlineStr">
        <is>
          <t>USD 24,946.67 — central: pull forward to Dec 2026; downside: contractual Jan 2027</t>
        </is>
      </c>
      <c r="C9" s="11" t="inlineStr">
        <is>
          <t>Pull-forward requested by ED in flight (CAP-158); contractual date per §3.3 31 Jan 2027</t>
        </is>
      </c>
    </row>
    <row r="10">
      <c r="A10" s="11" t="inlineStr">
        <is>
          <t>Stimson Swiss Y2 end</t>
        </is>
      </c>
      <c r="B10" s="11" t="inlineStr">
        <is>
          <t>USD 24,946.66 in May/Jun 2027</t>
        </is>
      </c>
      <c r="C10" s="11" t="inlineStr">
        <is>
          <t>Per Stimson §3.3 — 30 Jun 2027 contractual</t>
        </is>
      </c>
    </row>
    <row r="11">
      <c r="A11" s="11" t="inlineStr">
        <is>
          <t>FCDO Phase II</t>
        </is>
      </c>
      <c r="B11" s="11" t="inlineStr">
        <is>
          <t>Central: GBP 80,000 ÷ 2 tranches Aug 2026 + Mar 2027 at GBP/USD 1.33 = USD 106,400 total; Downside: excluded</t>
        </is>
      </c>
      <c r="C11" s="11" t="inlineStr">
        <is>
          <t>Per FCDO budget worksheet finance-docs/grants/5 5 26 FCDO budget humanus.xlsx — NO signed agreement on file; target sign end-Jul 2026</t>
        </is>
      </c>
    </row>
    <row r="12">
      <c r="A12" s="11" t="inlineStr">
        <is>
          <t>FX rates</t>
        </is>
      </c>
      <c r="B12" s="11" t="inlineStr">
        <is>
          <t>GBP/USD 1.33 (OANDA, working figure per Eva); EUR balances revalued by Xero</t>
        </is>
      </c>
      <c r="C12" s="11" t="inlineStr">
        <is>
          <t>Per CAP-147 v2 anchor</t>
        </is>
      </c>
    </row>
    <row r="13">
      <c r="A13" s="11" t="inlineStr">
        <is>
          <t>Excluded from forecast</t>
        </is>
      </c>
      <c r="B13" s="11" t="inlineStr">
        <is>
          <t>Any new unrestricted donor income; cost-of-living adjustments; H2 audit overrun</t>
        </is>
      </c>
      <c r="C13" s="11" t="inlineStr">
        <is>
          <t>Conservative; flagged in commentary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Commentary</t>
        </is>
      </c>
    </row>
    <row r="3">
      <c r="A3" s="12" t="inlineStr">
        <is>
          <t>Cash position at 25 May 2026: USD 182,801 (Wise USD 173k + EUR 9k + GBP 0). Above the proposed reserves 3-month Red floor (USD 132,527); inside the Amber band; below the 6-month Green target (USD 265,054).</t>
        </is>
      </c>
    </row>
    <row r="4">
      <c r="A4" s="12" t="inlineStr"/>
    </row>
    <row r="5">
      <c r="A5" s="13" t="inlineStr">
        <is>
          <t>Central case (FCDO Phase II signs end-Jul 2026, all tranches land in projected windows):</t>
        </is>
      </c>
    </row>
    <row r="6">
      <c r="A6" s="12" t="inlineStr">
        <is>
          <t xml:space="preserve">  – Reserves Amber → Red transition end-July 2026 (cash USD 118k, below 3-mo floor USD 132,527).</t>
        </is>
      </c>
    </row>
    <row r="7">
      <c r="A7" s="12" t="inlineStr">
        <is>
          <t xml:space="preserve">  – Lowest point end-December 2026 at ~USD (3,000) — briefly negative just before OSF Y3 tranche.</t>
        </is>
      </c>
    </row>
    <row r="8">
      <c r="A8" s="12" t="inlineStr">
        <is>
          <t xml:space="preserve">  – Recovers to USD 252k end-January 2027 with OSF Y3 tranche.</t>
        </is>
      </c>
    </row>
    <row r="9">
      <c r="A9" s="12" t="inlineStr">
        <is>
          <t xml:space="preserve">  – Closes May 2027 at USD 151k (Amber band).</t>
        </is>
      </c>
    </row>
    <row r="10">
      <c r="A10" s="12" t="inlineStr">
        <is>
          <t xml:space="preserve">  – 12-month net cash movement: ~USD (31,000) — net outflow even in central case.</t>
        </is>
      </c>
    </row>
    <row r="11">
      <c r="A11" s="12" t="inlineStr"/>
    </row>
    <row r="12">
      <c r="A12" s="13" t="inlineStr">
        <is>
          <t>Downside case (FCDO Phase II slips into 2027; SDC final slips to Q1 2027):</t>
        </is>
      </c>
    </row>
    <row r="13">
      <c r="A13" s="12" t="inlineStr">
        <is>
          <t xml:space="preserve">  – Cash exhausts mid-October 2026; closes December 2026 at ~USD (106,000) overdraft.</t>
        </is>
      </c>
    </row>
    <row r="14">
      <c r="A14" s="12" t="inlineStr">
        <is>
          <t xml:space="preserve">  – OSF Y3 tranche January 2027 restores positive cash; closes May 2027 at USD 45k.</t>
        </is>
      </c>
    </row>
    <row r="15">
      <c r="A15" s="12" t="inlineStr"/>
    </row>
    <row r="16">
      <c r="A16" s="13" t="inlineStr">
        <is>
          <t>Levers if downside emerges (in priority order; all to be triggered by end-Jul 2026 if FCDO II unsigned):</t>
        </is>
      </c>
    </row>
    <row r="17">
      <c r="A17" s="12" t="inlineStr">
        <is>
          <t xml:space="preserve">  1. Pause discretionary spend — Volunteer Stipends (already exhausted), Travel, Board pulses — saves ~USD 6-10k/month from Aug 2026.</t>
        </is>
      </c>
    </row>
    <row r="18">
      <c r="A18" s="12" t="inlineStr">
        <is>
          <t xml:space="preserve">  2. Confirm Stimson Y2 mid pull-forward to Dec 2026 (in flight per CAP-158); bridges into OSF Y3 Jan 2027.</t>
        </is>
      </c>
    </row>
    <row r="19">
      <c r="A19" s="12" t="inlineStr">
        <is>
          <t xml:space="preserve">  3. Short-term bridge facility (Wise Business credit / partner loan) for Oct–Dec 2026 window.</t>
        </is>
      </c>
    </row>
    <row r="20">
      <c r="A20" s="12" t="inlineStr">
        <is>
          <t xml:space="preserve">  4. Mid-year board-approved rebudget — defer non-critical 2026 programme spend into 2027.</t>
        </is>
      </c>
    </row>
    <row r="21">
      <c r="A21" s="12" t="inlineStr">
        <is>
          <t xml:space="preserve">  5. As last resort, accelerate the Stimson Swiss Y2 end tranche (May 2027 contractually) — request to Stimson would parallel the Y2 mid request.</t>
        </is>
      </c>
    </row>
    <row r="22">
      <c r="A22" s="12" t="inlineStr"/>
    </row>
    <row r="23">
      <c r="A23" s="13" t="inlineStr">
        <is>
          <t>Recommended board action:</t>
        </is>
      </c>
    </row>
    <row r="24">
      <c r="A24" s="12" t="inlineStr">
        <is>
          <t xml:space="preserve">  – Note central / downside cash trajectories and the end-July 2026 decision gate.</t>
        </is>
      </c>
    </row>
    <row r="25">
      <c r="A25" s="12" t="inlineStr">
        <is>
          <t xml:space="preserve">  – Approve the contingent levers above as pre-authorised mitigations should the downside emerge.</t>
        </is>
      </c>
    </row>
    <row r="26">
      <c r="A26" s="12" t="inlineStr">
        <is>
          <t xml:space="preserve">  – Direct ED to provide FCDO Phase II signature update by 31 July 2026, and to trigger Levers 1–3 in sequence if unsigned at that point.</t>
        </is>
      </c>
    </row>
    <row r="27">
      <c r="A27" s="12" t="inlineStr">
        <is>
          <t xml:space="preserve">  – Re-affirm the proposed reserves policy (P-06f, CAP-25); accept that central case crosses below the 3-month Red floor for most of Aug 2026 – Jan 2027 even with successful FCDO II.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2026-05-26T08:28:47Z</dcterms:created>
  <dcterms:modified xmlns:dcterms="http://purl.org/dc/terms/" xmlns:xsi="http://www.w3.org/2001/XMLSchema-instance" xsi:type="dcterms:W3CDTF">2026-05-26T08:28:47Z</dcterms:modified>
</cp:coreProperties>
</file>