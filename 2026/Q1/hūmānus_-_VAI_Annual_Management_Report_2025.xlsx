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/>
  <mc:AlternateContent xmlns:mc="http://schemas.openxmlformats.org/markup-compatibility/2006">
    <mc:Choice Requires="x15">
      <x15ac:absPath xmlns:x15ac="http://schemas.microsoft.com/office/spreadsheetml/2010/11/ac" url="https://victimadvocatesintl.sharepoint.com/sites/VAIAdminandFinance2/3 Governance/3.1 Board of Directors/3.1.2 Board Meetings/2026/Q1 - 2026/Full Finance Statement 2025/"/>
    </mc:Choice>
  </mc:AlternateContent>
  <xr:revisionPtr revIDLastSave="0" documentId="11_8468E8CA9794926EEC9BB76C562E0FA0CDF3E081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Executive Summary" sheetId="1" r:id="rId1"/>
    <sheet name="Cash Summary" sheetId="2" r:id="rId2"/>
    <sheet name="Profit and Loss" sheetId="3" r:id="rId3"/>
    <sheet name="Balance Sheet" sheetId="4" r:id="rId4"/>
    <sheet name="Aged Receivables Summary" sheetId="5" r:id="rId5"/>
    <sheet name="Aged Payables 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6" l="1"/>
  <c r="G10" i="6"/>
  <c r="F10" i="6"/>
  <c r="E10" i="6"/>
  <c r="D10" i="6"/>
  <c r="B10" i="6"/>
  <c r="E36" i="4"/>
  <c r="C36" i="4"/>
  <c r="E28" i="4"/>
  <c r="E29" i="4" s="1"/>
  <c r="C28" i="4"/>
  <c r="C29" i="4" s="1"/>
  <c r="E21" i="4"/>
  <c r="C21" i="4"/>
  <c r="E16" i="4"/>
  <c r="C16" i="4"/>
  <c r="E12" i="4"/>
  <c r="E22" i="4" s="1"/>
  <c r="E31" i="4" s="1"/>
  <c r="C12" i="4"/>
  <c r="D44" i="3"/>
  <c r="C44" i="3"/>
  <c r="B44" i="3"/>
  <c r="D26" i="3"/>
  <c r="C26" i="3"/>
  <c r="B26" i="3"/>
  <c r="D11" i="3"/>
  <c r="D28" i="3" s="1"/>
  <c r="D46" i="3" s="1"/>
  <c r="C11" i="3"/>
  <c r="C28" i="3" s="1"/>
  <c r="C46" i="3" s="1"/>
  <c r="B11" i="3"/>
  <c r="B28" i="3" s="1"/>
  <c r="B46" i="3" s="1"/>
  <c r="F61" i="2"/>
  <c r="F60" i="2"/>
  <c r="F59" i="2"/>
  <c r="F58" i="2"/>
  <c r="F53" i="2"/>
  <c r="D53" i="2"/>
  <c r="B53" i="2"/>
  <c r="F52" i="2"/>
  <c r="D49" i="2"/>
  <c r="B49" i="2"/>
  <c r="F48" i="2"/>
  <c r="D45" i="2"/>
  <c r="B45" i="2"/>
  <c r="F45" i="2" s="1"/>
  <c r="F44" i="2"/>
  <c r="D39" i="2"/>
  <c r="B39" i="2"/>
  <c r="F39" i="2" s="1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D10" i="2"/>
  <c r="B10" i="2"/>
  <c r="F9" i="2"/>
  <c r="F8" i="2"/>
  <c r="G35" i="1"/>
  <c r="G34" i="1"/>
  <c r="G33" i="1"/>
  <c r="G32" i="1"/>
  <c r="G31" i="1"/>
  <c r="G29" i="1"/>
  <c r="G28" i="1"/>
  <c r="G27" i="1"/>
  <c r="G25" i="1"/>
  <c r="G24" i="1"/>
  <c r="G22" i="1"/>
  <c r="G21" i="1"/>
  <c r="G20" i="1"/>
  <c r="G18" i="1"/>
  <c r="G17" i="1"/>
  <c r="G16" i="1"/>
  <c r="G15" i="1"/>
  <c r="G14" i="1"/>
  <c r="G13" i="1"/>
  <c r="G11" i="1"/>
  <c r="G10" i="1"/>
  <c r="G9" i="1"/>
  <c r="G8" i="1"/>
  <c r="G7" i="1"/>
  <c r="D41" i="2" l="1"/>
  <c r="D55" i="2" s="1"/>
  <c r="C22" i="4"/>
  <c r="C31" i="4" s="1"/>
  <c r="F49" i="2"/>
  <c r="H14" i="6"/>
  <c r="H12" i="6"/>
  <c r="G14" i="6"/>
  <c r="G12" i="6"/>
  <c r="F14" i="6"/>
  <c r="F12" i="6"/>
  <c r="E14" i="6"/>
  <c r="E12" i="6"/>
  <c r="D14" i="6"/>
  <c r="D12" i="6"/>
  <c r="B14" i="6"/>
  <c r="B12" i="6"/>
  <c r="B41" i="2"/>
  <c r="F10" i="2"/>
  <c r="F41" i="2" l="1"/>
  <c r="B55" i="2"/>
  <c r="F55" i="2" s="1"/>
</calcChain>
</file>

<file path=xl/sharedStrings.xml><?xml version="1.0" encoding="utf-8"?>
<sst xmlns="http://schemas.openxmlformats.org/spreadsheetml/2006/main" count="227" uniqueCount="178">
  <si>
    <t>Executive Summary</t>
  </si>
  <si>
    <t>hūmānus</t>
  </si>
  <si>
    <t>For the year ended 31 December 2025</t>
  </si>
  <si>
    <t>Key indicator</t>
  </si>
  <si>
    <t>2025</t>
  </si>
  <si>
    <t>2024</t>
  </si>
  <si>
    <t>Variance</t>
  </si>
  <si>
    <t>Cash</t>
  </si>
  <si>
    <t>Cash received</t>
  </si>
  <si>
    <t>Cash spent</t>
  </si>
  <si>
    <t>Cash surplus (deficit)</t>
  </si>
  <si>
    <t>Foreign currency gain (loss)</t>
  </si>
  <si>
    <t>Closing bank balance</t>
  </si>
  <si>
    <t>[FX]</t>
  </si>
  <si>
    <t>Profitability</t>
  </si>
  <si>
    <t>Income</t>
  </si>
  <si>
    <t>Direct costs</t>
  </si>
  <si>
    <t>Gross profit (loss)</t>
  </si>
  <si>
    <t>Other income</t>
  </si>
  <si>
    <t>Expenses</t>
  </si>
  <si>
    <t>Profit (loss)</t>
  </si>
  <si>
    <t>Balance Sheet</t>
  </si>
  <si>
    <t>Debtors</t>
  </si>
  <si>
    <t>Creditors</t>
  </si>
  <si>
    <t>Net assets</t>
  </si>
  <si>
    <t>Sales</t>
  </si>
  <si>
    <t>Number of invoices issued</t>
  </si>
  <si>
    <t>Average value of invoices</t>
  </si>
  <si>
    <t>Performance</t>
  </si>
  <si>
    <t>Gross profit margin (%)</t>
  </si>
  <si>
    <t>Net profit margin (%)</t>
  </si>
  <si>
    <t>Return on investment (p.a.) (%)</t>
  </si>
  <si>
    <t>Position</t>
  </si>
  <si>
    <t>Average debtor days</t>
  </si>
  <si>
    <t>Average creditor days</t>
  </si>
  <si>
    <t>Short term cash forecast</t>
  </si>
  <si>
    <t>Current assets to liabilities</t>
  </si>
  <si>
    <t>Term assets to liabilities</t>
  </si>
  <si>
    <r>
      <rPr>
        <b/>
        <sz val="9"/>
        <color theme="1"/>
        <rFont val="Arial"/>
        <family val="2"/>
      </rPr>
      <t>[FX]</t>
    </r>
    <r>
      <rPr>
        <sz val="9"/>
        <color theme="1"/>
        <rFont val="Arial"/>
        <family val="2"/>
      </rPr>
      <t xml:space="preserve"> Exchange rates used to convert foreign currency into USD are shown below. Rates are provided by XE.com unless otherwise stated.</t>
    </r>
  </si>
  <si>
    <t>31 Dec 2025</t>
  </si>
  <si>
    <t>122.348 BDT (Bangladeshi Taka)</t>
  </si>
  <si>
    <t>0.851324 EUR (Euro)</t>
  </si>
  <si>
    <t>89.8908 INR (Indian Rupee)</t>
  </si>
  <si>
    <t>31 Dec 2024</t>
  </si>
  <si>
    <t>0.965843 EUR (Euro)</t>
  </si>
  <si>
    <t>Cash Summary</t>
  </si>
  <si>
    <t>Account</t>
  </si>
  <si>
    <t xml:space="preserve"> 250 - Grant Income</t>
  </si>
  <si>
    <t xml:space="preserve"> 270 - Interest Income</t>
  </si>
  <si>
    <t>Total Income</t>
  </si>
  <si>
    <t>Less Expenses</t>
  </si>
  <si>
    <t xml:space="preserve"> 300 - Executive Director</t>
  </si>
  <si>
    <t xml:space="preserve"> 311 - Project Staff</t>
  </si>
  <si>
    <t xml:space="preserve"> 312 - Project Consultants</t>
  </si>
  <si>
    <t xml:space="preserve"> 313 - Partner Grants</t>
  </si>
  <si>
    <t xml:space="preserve"> 314 - Volunteer Stipends</t>
  </si>
  <si>
    <t xml:space="preserve"> 315 - Meeting Expenses</t>
  </si>
  <si>
    <t xml:space="preserve"> 316 - Local Transportation</t>
  </si>
  <si>
    <t xml:space="preserve"> 317 - International Flights</t>
  </si>
  <si>
    <t xml:space="preserve"> 318 - Domestic Flights</t>
  </si>
  <si>
    <t xml:space="preserve"> 319 - Accommodation</t>
  </si>
  <si>
    <t xml:space="preserve"> 320 - Per diem</t>
  </si>
  <si>
    <t xml:space="preserve"> 325 - Cost of Living Allowances</t>
  </si>
  <si>
    <t xml:space="preserve"> 400 - Branding &amp; Communications</t>
  </si>
  <si>
    <t xml:space="preserve"> 404 - Bank Charges &amp; Merchant Fees</t>
  </si>
  <si>
    <t xml:space="preserve"> 413 - Accounting &amp; Bookkeeping Fees</t>
  </si>
  <si>
    <t xml:space="preserve"> 416 - Depreciation</t>
  </si>
  <si>
    <t xml:space="preserve"> 429 - General Expenses</t>
  </si>
  <si>
    <t xml:space="preserve"> 441 - Legal Fees</t>
  </si>
  <si>
    <t xml:space="preserve"> 450 - Board Meetings</t>
  </si>
  <si>
    <t xml:space="preserve"> 451 - Strategy &amp; Advisory Services</t>
  </si>
  <si>
    <t xml:space="preserve"> 490 - IT &amp; Software Expenses</t>
  </si>
  <si>
    <t xml:space="preserve"> 492 - Subscriptions</t>
  </si>
  <si>
    <t xml:space="preserve"> 620 - Prepayments</t>
  </si>
  <si>
    <t xml:space="preserve"> 700 - Programme Advances</t>
  </si>
  <si>
    <t xml:space="preserve"> 840 - Historical Adjustment</t>
  </si>
  <si>
    <t xml:space="preserve"> 850 - Suspense</t>
  </si>
  <si>
    <t>Total Expenses</t>
  </si>
  <si>
    <t>Surplus (Deficit)</t>
  </si>
  <si>
    <t>Plus Other Cash Movements</t>
  </si>
  <si>
    <t>Fixed Assets</t>
  </si>
  <si>
    <t>Total Other Cash Movements</t>
  </si>
  <si>
    <t>Plus Movements in Equity</t>
  </si>
  <si>
    <t xml:space="preserve"> 960 - Retained Earnings</t>
  </si>
  <si>
    <t>Total Movements in Equity</t>
  </si>
  <si>
    <t>Plus Foreign Currency Gains and Losses</t>
  </si>
  <si>
    <t xml:space="preserve"> 499 - Realised Currency Gains</t>
  </si>
  <si>
    <t>Total Foreign Currency Gains and Losses</t>
  </si>
  <si>
    <t>Net Cash Movement</t>
  </si>
  <si>
    <t>Summary</t>
  </si>
  <si>
    <t>Opening Balance</t>
  </si>
  <si>
    <t>Plus Net Cash Movement</t>
  </si>
  <si>
    <t>Currency Adjustment</t>
  </si>
  <si>
    <t>Cash Balance</t>
  </si>
  <si>
    <t>1.49853 AUD (Australian Dollar)</t>
  </si>
  <si>
    <t>0.792608 CHF (Swiss Franc)</t>
  </si>
  <si>
    <t>0.742154 GBP (British Pound)</t>
  </si>
  <si>
    <t>1.61597 AUD (Australian Dollar)</t>
  </si>
  <si>
    <t>0.907549 CHF (Swiss Franc)</t>
  </si>
  <si>
    <t>0.799148 GBP (British Pound)</t>
  </si>
  <si>
    <t>Profit and Loss</t>
  </si>
  <si>
    <t>Accrual Basis</t>
  </si>
  <si>
    <t>Year to date</t>
  </si>
  <si>
    <t>Trading Income</t>
  </si>
  <si>
    <t>250 - Grant Income</t>
  </si>
  <si>
    <t>270 - Interest Income</t>
  </si>
  <si>
    <t>Total Trading Income</t>
  </si>
  <si>
    <t>Cost of Sales</t>
  </si>
  <si>
    <t>300 - Executive Director</t>
  </si>
  <si>
    <t>311 - Project Staff</t>
  </si>
  <si>
    <t>312 - Project Consultants</t>
  </si>
  <si>
    <t>313 - Partner Grants</t>
  </si>
  <si>
    <t>314 - Volunteer Stipends</t>
  </si>
  <si>
    <t>315 - Meeting Expenses</t>
  </si>
  <si>
    <t>316 - Local Transportation</t>
  </si>
  <si>
    <t>317 - International Flights</t>
  </si>
  <si>
    <t>318 - Domestic Flights</t>
  </si>
  <si>
    <t>319 - Accommodation</t>
  </si>
  <si>
    <t>320 - Per diem</t>
  </si>
  <si>
    <t>325 - Cost of Living Allowances</t>
  </si>
  <si>
    <t>Total Cost of Sales</t>
  </si>
  <si>
    <t>Gross Profit</t>
  </si>
  <si>
    <t>Operating Expenses</t>
  </si>
  <si>
    <t>400 - Branding &amp; Communications</t>
  </si>
  <si>
    <t>404 - Bank Charges &amp; Merchant Fees</t>
  </si>
  <si>
    <t>413 - Accounting &amp; Bookkeeping Fees</t>
  </si>
  <si>
    <t>416 - Depreciation</t>
  </si>
  <si>
    <t>429 - General Expenses</t>
  </si>
  <si>
    <t>441 - Legal Fees</t>
  </si>
  <si>
    <t>450 - Board Meetings</t>
  </si>
  <si>
    <t>451 - Strategy &amp; Advisory Services</t>
  </si>
  <si>
    <t>490 - IT &amp; Software Expenses</t>
  </si>
  <si>
    <t>492 - Subscriptions</t>
  </si>
  <si>
    <t>497 - Bank Revaluations</t>
  </si>
  <si>
    <t>498 - Unrealised Currency Gains</t>
  </si>
  <si>
    <t>499 - Realised Currency Gains</t>
  </si>
  <si>
    <t>Total Operating Expenses</t>
  </si>
  <si>
    <t>Net Profit</t>
  </si>
  <si>
    <t>As at 31 December 2025</t>
  </si>
  <si>
    <t>Assets</t>
  </si>
  <si>
    <t>Bank</t>
  </si>
  <si>
    <t xml:space="preserve"> Wise - EUR</t>
  </si>
  <si>
    <t xml:space="preserve"> Wise - USD</t>
  </si>
  <si>
    <t>Total Bank</t>
  </si>
  <si>
    <t>Current Assets</t>
  </si>
  <si>
    <t>620 - Prepayments</t>
  </si>
  <si>
    <t>700 - Programme Advances</t>
  </si>
  <si>
    <t>Total Current Assets</t>
  </si>
  <si>
    <t>720 - Computer Equipment</t>
  </si>
  <si>
    <t>721 - Less Accumulated Depreciation on Computer Equipment</t>
  </si>
  <si>
    <t>722 - Office Equipments</t>
  </si>
  <si>
    <t>Total Fixed Assets</t>
  </si>
  <si>
    <t>Total Assets</t>
  </si>
  <si>
    <t>Liabilities</t>
  </si>
  <si>
    <t>Current Liabilities</t>
  </si>
  <si>
    <t>800 - Accounts Payable</t>
  </si>
  <si>
    <t>850 - Suspense</t>
  </si>
  <si>
    <t>Total Current Liabilities</t>
  </si>
  <si>
    <t>Total Liabilities</t>
  </si>
  <si>
    <t>Net Assets</t>
  </si>
  <si>
    <t>Equity</t>
  </si>
  <si>
    <t>960 - Retained Earnings</t>
  </si>
  <si>
    <t>Current Year Earnings</t>
  </si>
  <si>
    <t>Total Equity</t>
  </si>
  <si>
    <t>Aged Receivables Summary</t>
  </si>
  <si>
    <t>Ageing by due date</t>
  </si>
  <si>
    <t>Aged Payables Summary</t>
  </si>
  <si>
    <t>Contact</t>
  </si>
  <si>
    <t>&lt; 1 Month</t>
  </si>
  <si>
    <t>1 Month</t>
  </si>
  <si>
    <t>2 Months</t>
  </si>
  <si>
    <t>3 Months</t>
  </si>
  <si>
    <t>Older</t>
  </si>
  <si>
    <t>Total</t>
  </si>
  <si>
    <t>Aged Payables</t>
  </si>
  <si>
    <t>Tavy Cussinel</t>
  </si>
  <si>
    <t>Total Aged Payables</t>
  </si>
  <si>
    <t>Percentage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</si>
</sst>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8" x14ac:knownFonts="1">
    <font>
      <sz val="9"/>
      <color theme="1"/>
      <name val="Arial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right" vertical="center"/>
    </xf>
    <xf numFmtId="9" fontId="0" fillId="0" borderId="2" xfId="0" applyNumberFormat="1" applyBorder="1" applyAlignment="1">
      <alignment horizontal="right" vertical="center"/>
    </xf>
    <xf numFmtId="0" fontId="0" fillId="0" borderId="0" xfId="0" applyAlignment="1">
      <alignment vertical="top"/>
    </xf>
    <xf numFmtId="0" fontId="6" fillId="0" borderId="0" xfId="0" applyFont="1" applyAlignment="1">
      <alignment vertical="top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  <xf numFmtId="9" fontId="0" fillId="0" borderId="0" xfId="0" applyNumberFormat="1" applyAlignment="1">
      <alignment horizontal="right" vertical="center"/>
    </xf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right" vertical="center"/>
    </xf>
    <xf numFmtId="9" fontId="6" fillId="0" borderId="2" xfId="0" applyNumberFormat="1" applyFont="1" applyBorder="1" applyAlignment="1">
      <alignment horizontal="right" vertical="center"/>
    </xf>
    <xf numFmtId="0" fontId="6" fillId="2" borderId="3" xfId="0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horizontal="right" vertical="center"/>
    </xf>
    <xf numFmtId="9" fontId="6" fillId="2" borderId="3" xfId="0" applyNumberFormat="1" applyFont="1" applyFill="1" applyBorder="1" applyAlignment="1">
      <alignment horizontal="right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showGridLines="0" tabSelected="1" zoomScaleNormal="100" workbookViewId="0"/>
  </sheetViews>
  <sheetFormatPr baseColWidth="10" defaultColWidth="9" defaultRowHeight="12" x14ac:dyDescent="0.15"/>
  <cols>
    <col min="1" max="1" width="1.3984375" customWidth="1"/>
    <col min="2" max="2" width="29.3984375" customWidth="1"/>
    <col min="3" max="3" width="9.796875" customWidth="1"/>
    <col min="4" max="4" width="5.3984375" customWidth="1"/>
    <col min="5" max="5" width="8.3984375" customWidth="1"/>
    <col min="6" max="6" width="5.3984375" customWidth="1"/>
    <col min="7" max="7" width="10.796875" customWidth="1"/>
  </cols>
  <sheetData>
    <row r="1" spans="1:7" s="1" customFormat="1" ht="16.75" customHeight="1" x14ac:dyDescent="0.2">
      <c r="A1" s="2" t="s">
        <v>0</v>
      </c>
      <c r="B1" s="2"/>
      <c r="C1" s="2"/>
      <c r="D1" s="2"/>
      <c r="E1" s="2"/>
      <c r="F1" s="2"/>
      <c r="G1" s="2"/>
    </row>
    <row r="2" spans="1:7" s="3" customFormat="1" ht="14.5" customHeight="1" x14ac:dyDescent="0.2">
      <c r="A2" s="4" t="s">
        <v>1</v>
      </c>
      <c r="B2" s="4"/>
      <c r="C2" s="4"/>
      <c r="D2" s="4"/>
      <c r="E2" s="4"/>
      <c r="F2" s="4"/>
      <c r="G2" s="4"/>
    </row>
    <row r="3" spans="1:7" s="3" customFormat="1" ht="14.5" customHeight="1" x14ac:dyDescent="0.2">
      <c r="A3" s="4" t="s">
        <v>2</v>
      </c>
      <c r="B3" s="4"/>
      <c r="C3" s="4"/>
      <c r="D3" s="4"/>
      <c r="E3" s="4"/>
      <c r="F3" s="4"/>
      <c r="G3" s="4"/>
    </row>
    <row r="4" spans="1:7" ht="13.25" customHeight="1" x14ac:dyDescent="0.15"/>
    <row r="5" spans="1:7" s="5" customFormat="1" ht="12" customHeight="1" x14ac:dyDescent="0.15">
      <c r="A5" s="6"/>
      <c r="B5" s="7" t="s">
        <v>3</v>
      </c>
      <c r="C5" s="8" t="s">
        <v>4</v>
      </c>
      <c r="D5" s="8"/>
      <c r="E5" s="8" t="s">
        <v>5</v>
      </c>
      <c r="F5" s="8"/>
      <c r="G5" s="8" t="s">
        <v>6</v>
      </c>
    </row>
    <row r="6" spans="1:7" ht="11" customHeight="1" x14ac:dyDescent="0.15">
      <c r="A6" s="9"/>
      <c r="B6" s="9" t="s">
        <v>7</v>
      </c>
      <c r="C6" s="9"/>
      <c r="D6" s="9"/>
      <c r="E6" s="9"/>
      <c r="F6" s="9"/>
      <c r="G6" s="9"/>
    </row>
    <row r="7" spans="1:7" ht="11" customHeight="1" x14ac:dyDescent="0.15">
      <c r="B7" s="10" t="s">
        <v>8</v>
      </c>
      <c r="C7" s="11">
        <v>204614.23</v>
      </c>
      <c r="D7" s="10"/>
      <c r="E7" s="11">
        <v>611280.89</v>
      </c>
      <c r="F7" s="10"/>
      <c r="G7" s="12">
        <f>((C7 - E7) / IF((E7 &lt; 0), (E7 * (-1)), E7))</f>
        <v>-0.66526970931481277</v>
      </c>
    </row>
    <row r="8" spans="1:7" ht="11" customHeight="1" x14ac:dyDescent="0.15">
      <c r="B8" s="10" t="s">
        <v>9</v>
      </c>
      <c r="C8" s="11">
        <v>612222.85</v>
      </c>
      <c r="D8" s="10"/>
      <c r="E8" s="11">
        <v>466236.95</v>
      </c>
      <c r="F8" s="10"/>
      <c r="G8" s="12">
        <f>((C8 - E8) / IF((E8 &lt; 0), (E8 * (-1)), E8))</f>
        <v>0.31311525180490296</v>
      </c>
    </row>
    <row r="9" spans="1:7" ht="11" customHeight="1" x14ac:dyDescent="0.15">
      <c r="B9" s="10" t="s">
        <v>10</v>
      </c>
      <c r="C9" s="11">
        <v>-407608.62</v>
      </c>
      <c r="D9" s="10"/>
      <c r="E9" s="11">
        <v>145043.94</v>
      </c>
      <c r="F9" s="10"/>
      <c r="G9" s="12">
        <f>((C9 - E9) / IF((E9 &lt; 0), (E9 * (-1)), E9))</f>
        <v>-3.8102423307033719</v>
      </c>
    </row>
    <row r="10" spans="1:7" ht="11" customHeight="1" x14ac:dyDescent="0.15">
      <c r="B10" s="10" t="s">
        <v>11</v>
      </c>
      <c r="C10" s="11">
        <v>14610.96</v>
      </c>
      <c r="D10" s="10"/>
      <c r="E10" s="11">
        <v>-6880.99</v>
      </c>
      <c r="F10" s="10"/>
      <c r="G10" s="12">
        <f>((C10 - E10) / IF((E10 &lt; 0), (E10 * (-1)), E10))</f>
        <v>3.1233805019335876</v>
      </c>
    </row>
    <row r="11" spans="1:7" ht="11" customHeight="1" x14ac:dyDescent="0.15">
      <c r="B11" s="10" t="s">
        <v>12</v>
      </c>
      <c r="C11" s="11">
        <v>23786.75</v>
      </c>
      <c r="D11" s="10" t="s">
        <v>13</v>
      </c>
      <c r="E11" s="11">
        <v>416784.41</v>
      </c>
      <c r="F11" s="10" t="s">
        <v>13</v>
      </c>
      <c r="G11" s="12">
        <f>((C11 - E11) / IF((E11 &lt; 0), (E11 * (-1)), E11))</f>
        <v>-0.94292792765449163</v>
      </c>
    </row>
    <row r="12" spans="1:7" ht="11" customHeight="1" x14ac:dyDescent="0.15">
      <c r="A12" s="9"/>
      <c r="B12" s="9" t="s">
        <v>14</v>
      </c>
      <c r="C12" s="9"/>
      <c r="D12" s="9"/>
      <c r="E12" s="9"/>
      <c r="F12" s="9"/>
      <c r="G12" s="9"/>
    </row>
    <row r="13" spans="1:7" ht="11" customHeight="1" x14ac:dyDescent="0.15">
      <c r="B13" s="10" t="s">
        <v>15</v>
      </c>
      <c r="C13" s="11">
        <v>173817.53</v>
      </c>
      <c r="D13" s="10"/>
      <c r="E13" s="11">
        <v>603644.76</v>
      </c>
      <c r="F13" s="10"/>
      <c r="G13" s="12">
        <f>((C13 - E13) / IF((E13 &lt; 0), (E13 * (-1)), E13))</f>
        <v>-0.71205327782518968</v>
      </c>
    </row>
    <row r="14" spans="1:7" ht="11" customHeight="1" x14ac:dyDescent="0.15">
      <c r="B14" s="10" t="s">
        <v>16</v>
      </c>
      <c r="C14" s="11">
        <v>481539.54</v>
      </c>
      <c r="D14" s="10"/>
      <c r="E14" s="11">
        <v>419109.01</v>
      </c>
      <c r="F14" s="10"/>
      <c r="G14" s="12">
        <f>((C14 - E14) / IF((E14 &lt; 0), (E14 * (-1)), E14))</f>
        <v>0.14896012376350479</v>
      </c>
    </row>
    <row r="15" spans="1:7" ht="11" customHeight="1" x14ac:dyDescent="0.15">
      <c r="B15" s="10" t="s">
        <v>17</v>
      </c>
      <c r="C15" s="11">
        <v>-307722.01</v>
      </c>
      <c r="D15" s="10"/>
      <c r="E15" s="11">
        <v>184535.75</v>
      </c>
      <c r="F15" s="10"/>
      <c r="G15" s="12">
        <f>((C15 - E15) / IF((E15 &lt; 0), (E15 * (-1)), E15))</f>
        <v>-2.6675468574517405</v>
      </c>
    </row>
    <row r="16" spans="1:7" ht="11" customHeight="1" x14ac:dyDescent="0.15">
      <c r="B16" s="10" t="s">
        <v>18</v>
      </c>
      <c r="C16" s="11">
        <v>0</v>
      </c>
      <c r="D16" s="10"/>
      <c r="E16" s="11">
        <v>0</v>
      </c>
      <c r="F16" s="10"/>
      <c r="G16" s="12">
        <f>0</f>
        <v>0</v>
      </c>
    </row>
    <row r="17" spans="1:7" ht="11" customHeight="1" x14ac:dyDescent="0.15">
      <c r="B17" s="10" t="s">
        <v>19</v>
      </c>
      <c r="C17" s="11">
        <v>85359.039999999994</v>
      </c>
      <c r="D17" s="10"/>
      <c r="E17" s="11">
        <v>44761.760000000002</v>
      </c>
      <c r="F17" s="10"/>
      <c r="G17" s="12">
        <f>((C17 - E17) / IF((E17 &lt; 0), (E17 * (-1)), E17))</f>
        <v>0.90696344379666904</v>
      </c>
    </row>
    <row r="18" spans="1:7" ht="11" customHeight="1" x14ac:dyDescent="0.15">
      <c r="B18" s="10" t="s">
        <v>20</v>
      </c>
      <c r="C18" s="11">
        <v>-393081.05</v>
      </c>
      <c r="D18" s="10"/>
      <c r="E18" s="11">
        <v>139773.99</v>
      </c>
      <c r="F18" s="10"/>
      <c r="G18" s="12">
        <f>((C18 - E18) / IF((E18 &lt; 0), (E18 * (-1)), E18))</f>
        <v>-3.8122617806073937</v>
      </c>
    </row>
    <row r="19" spans="1:7" ht="11" customHeight="1" x14ac:dyDescent="0.15">
      <c r="A19" s="9"/>
      <c r="B19" s="9" t="s">
        <v>21</v>
      </c>
      <c r="C19" s="9"/>
      <c r="D19" s="9"/>
      <c r="E19" s="9"/>
      <c r="F19" s="9"/>
      <c r="G19" s="9"/>
    </row>
    <row r="20" spans="1:7" ht="11" customHeight="1" x14ac:dyDescent="0.15">
      <c r="B20" s="10" t="s">
        <v>22</v>
      </c>
      <c r="C20" s="11">
        <v>0</v>
      </c>
      <c r="D20" s="10"/>
      <c r="E20" s="11">
        <v>0</v>
      </c>
      <c r="F20" s="10"/>
      <c r="G20" s="12">
        <f>0</f>
        <v>0</v>
      </c>
    </row>
    <row r="21" spans="1:7" ht="11" customHeight="1" x14ac:dyDescent="0.15">
      <c r="B21" s="10" t="s">
        <v>23</v>
      </c>
      <c r="C21" s="11">
        <v>24.11</v>
      </c>
      <c r="D21" s="10" t="s">
        <v>13</v>
      </c>
      <c r="E21" s="11">
        <v>0</v>
      </c>
      <c r="F21" s="10"/>
      <c r="G21" s="12">
        <f>0</f>
        <v>0</v>
      </c>
    </row>
    <row r="22" spans="1:7" ht="11" customHeight="1" x14ac:dyDescent="0.15">
      <c r="B22" s="10" t="s">
        <v>24</v>
      </c>
      <c r="C22" s="11">
        <v>25314.400000000001</v>
      </c>
      <c r="D22" s="10" t="s">
        <v>13</v>
      </c>
      <c r="E22" s="11">
        <v>418395.45</v>
      </c>
      <c r="F22" s="10" t="s">
        <v>13</v>
      </c>
      <c r="G22" s="12">
        <f>((C22 - E22) / IF((E22 &lt; 0), (E22 * (-1)), E22))</f>
        <v>-0.93949647396978142</v>
      </c>
    </row>
    <row r="23" spans="1:7" ht="11" customHeight="1" x14ac:dyDescent="0.15">
      <c r="A23" s="9"/>
      <c r="B23" s="9" t="s">
        <v>25</v>
      </c>
      <c r="C23" s="9"/>
      <c r="D23" s="9"/>
      <c r="E23" s="9"/>
      <c r="F23" s="9"/>
      <c r="G23" s="9"/>
    </row>
    <row r="24" spans="1:7" ht="11" customHeight="1" x14ac:dyDescent="0.15">
      <c r="B24" s="10" t="s">
        <v>26</v>
      </c>
      <c r="C24" s="11">
        <v>2</v>
      </c>
      <c r="D24" s="10"/>
      <c r="E24" s="11">
        <v>2</v>
      </c>
      <c r="F24" s="10"/>
      <c r="G24" s="12">
        <f>((C24 - E24) / IF((E24 &lt; 0), (E24 * (-1)), E24))</f>
        <v>0</v>
      </c>
    </row>
    <row r="25" spans="1:7" ht="11" customHeight="1" x14ac:dyDescent="0.15">
      <c r="B25" s="10" t="s">
        <v>27</v>
      </c>
      <c r="C25" s="11">
        <v>67563.37</v>
      </c>
      <c r="D25" s="10"/>
      <c r="E25" s="11">
        <v>183700</v>
      </c>
      <c r="F25" s="10"/>
      <c r="G25" s="12">
        <f>((C25 - E25) / IF((E25 &lt; 0), (E25 * (-1)), E25))</f>
        <v>-0.63220811105062602</v>
      </c>
    </row>
    <row r="26" spans="1:7" ht="11" customHeight="1" x14ac:dyDescent="0.15">
      <c r="A26" s="9"/>
      <c r="B26" s="9" t="s">
        <v>28</v>
      </c>
      <c r="C26" s="9"/>
      <c r="D26" s="9"/>
      <c r="E26" s="9"/>
      <c r="F26" s="9"/>
      <c r="G26" s="9"/>
    </row>
    <row r="27" spans="1:7" ht="11" customHeight="1" x14ac:dyDescent="0.15">
      <c r="B27" s="10" t="s">
        <v>29</v>
      </c>
      <c r="C27" s="11">
        <v>-177.03738512450383</v>
      </c>
      <c r="D27" s="10"/>
      <c r="E27" s="11">
        <v>30.570256254688601</v>
      </c>
      <c r="F27" s="10"/>
      <c r="G27" s="12">
        <f>((C27 - E27) / IF((E27 &lt; 0), (E27 * (-1)), E27))</f>
        <v>-6.7911645767559232</v>
      </c>
    </row>
    <row r="28" spans="1:7" ht="11" customHeight="1" x14ac:dyDescent="0.15">
      <c r="B28" s="10" t="s">
        <v>30</v>
      </c>
      <c r="C28" s="11">
        <v>-226.14580359069652</v>
      </c>
      <c r="D28" s="10"/>
      <c r="E28" s="11">
        <v>23.155007590888388</v>
      </c>
      <c r="F28" s="10"/>
      <c r="G28" s="12">
        <f>((C28 - E28) / IF((E28 &lt; 0), (E28 * (-1)), E28))</f>
        <v>-10.766604597429975</v>
      </c>
    </row>
    <row r="29" spans="1:7" ht="11" customHeight="1" x14ac:dyDescent="0.15">
      <c r="B29" s="10" t="s">
        <v>31</v>
      </c>
      <c r="C29" s="11">
        <v>-1552.7962</v>
      </c>
      <c r="D29" s="10"/>
      <c r="E29" s="11">
        <v>33.4071</v>
      </c>
      <c r="F29" s="10"/>
      <c r="G29" s="12">
        <f>((C29 - E29) / IF((E29 &lt; 0), (E29 * (-1)), E29))</f>
        <v>-47.481023495005552</v>
      </c>
    </row>
    <row r="30" spans="1:7" ht="11" customHeight="1" x14ac:dyDescent="0.15">
      <c r="A30" s="9"/>
      <c r="B30" s="9" t="s">
        <v>32</v>
      </c>
      <c r="C30" s="9"/>
      <c r="D30" s="9"/>
      <c r="E30" s="9"/>
      <c r="F30" s="9"/>
      <c r="G30" s="9"/>
    </row>
    <row r="31" spans="1:7" ht="11" customHeight="1" x14ac:dyDescent="0.15">
      <c r="B31" s="10" t="s">
        <v>33</v>
      </c>
      <c r="C31" s="11">
        <v>0</v>
      </c>
      <c r="D31" s="10"/>
      <c r="E31" s="11">
        <v>0</v>
      </c>
      <c r="F31" s="10"/>
      <c r="G31" s="12">
        <f>0</f>
        <v>0</v>
      </c>
    </row>
    <row r="32" spans="1:7" ht="11" customHeight="1" x14ac:dyDescent="0.15">
      <c r="B32" s="10" t="s">
        <v>34</v>
      </c>
      <c r="C32" s="11">
        <v>1.8275030955921086E-2</v>
      </c>
      <c r="D32" s="10"/>
      <c r="E32" s="11">
        <v>0</v>
      </c>
      <c r="F32" s="10"/>
      <c r="G32" s="12">
        <f>0</f>
        <v>0</v>
      </c>
    </row>
    <row r="33" spans="1:7" ht="11" customHeight="1" x14ac:dyDescent="0.15">
      <c r="B33" s="10" t="s">
        <v>35</v>
      </c>
      <c r="C33" s="11">
        <v>-24.11</v>
      </c>
      <c r="D33" s="10"/>
      <c r="E33" s="11">
        <v>0</v>
      </c>
      <c r="F33" s="10"/>
      <c r="G33" s="12">
        <f>0</f>
        <v>0</v>
      </c>
    </row>
    <row r="34" spans="1:7" ht="11" customHeight="1" x14ac:dyDescent="0.15">
      <c r="B34" s="10" t="s">
        <v>36</v>
      </c>
      <c r="C34" s="11">
        <v>599.22048611111109</v>
      </c>
      <c r="D34" s="10"/>
      <c r="E34" s="11">
        <v>0</v>
      </c>
      <c r="F34" s="10"/>
      <c r="G34" s="12">
        <f>0</f>
        <v>0</v>
      </c>
    </row>
    <row r="35" spans="1:7" ht="11" customHeight="1" x14ac:dyDescent="0.15">
      <c r="B35" s="10" t="s">
        <v>37</v>
      </c>
      <c r="C35" s="11">
        <v>0</v>
      </c>
      <c r="D35" s="10"/>
      <c r="E35" s="11">
        <v>0</v>
      </c>
      <c r="F35" s="10"/>
      <c r="G35" s="12">
        <f>0</f>
        <v>0</v>
      </c>
    </row>
    <row r="36" spans="1:7" ht="13.25" customHeight="1" x14ac:dyDescent="0.15"/>
    <row r="37" spans="1:7" ht="13.25" customHeight="1" x14ac:dyDescent="0.15"/>
    <row r="38" spans="1:7" ht="11" customHeight="1" x14ac:dyDescent="0.15">
      <c r="A38" s="13" t="s">
        <v>38</v>
      </c>
    </row>
    <row r="39" spans="1:7" ht="11" customHeight="1" x14ac:dyDescent="0.15">
      <c r="A39" s="14" t="s">
        <v>39</v>
      </c>
    </row>
    <row r="40" spans="1:7" ht="11" customHeight="1" x14ac:dyDescent="0.15">
      <c r="A40" s="13" t="s">
        <v>40</v>
      </c>
    </row>
    <row r="41" spans="1:7" ht="11" customHeight="1" x14ac:dyDescent="0.15">
      <c r="A41" s="13" t="s">
        <v>41</v>
      </c>
    </row>
    <row r="42" spans="1:7" ht="11" customHeight="1" x14ac:dyDescent="0.15">
      <c r="A42" s="13" t="s">
        <v>42</v>
      </c>
    </row>
    <row r="43" spans="1:7" ht="11" customHeight="1" x14ac:dyDescent="0.15">
      <c r="A43" s="14" t="s">
        <v>43</v>
      </c>
    </row>
    <row r="44" spans="1:7" ht="11" customHeight="1" x14ac:dyDescent="0.15">
      <c r="A44" s="13" t="s">
        <v>44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4"/>
  <sheetViews>
    <sheetView showGridLines="0" zoomScaleNormal="100" workbookViewId="0"/>
  </sheetViews>
  <sheetFormatPr baseColWidth="10" defaultColWidth="9" defaultRowHeight="12" x14ac:dyDescent="0.15"/>
  <cols>
    <col min="1" max="1" width="43.796875" customWidth="1"/>
    <col min="2" max="2" width="9.796875" customWidth="1"/>
    <col min="3" max="3" width="5.3984375" customWidth="1"/>
    <col min="4" max="4" width="8.3984375" customWidth="1"/>
    <col min="5" max="5" width="5.3984375" customWidth="1"/>
    <col min="6" max="6" width="10.796875" customWidth="1"/>
  </cols>
  <sheetData>
    <row r="1" spans="1:6" s="1" customFormat="1" ht="16.75" customHeight="1" x14ac:dyDescent="0.2">
      <c r="A1" s="2" t="s">
        <v>45</v>
      </c>
      <c r="B1" s="2"/>
      <c r="C1" s="2"/>
      <c r="D1" s="2"/>
      <c r="E1" s="2"/>
      <c r="F1" s="2"/>
    </row>
    <row r="2" spans="1:6" s="3" customFormat="1" ht="14.5" customHeight="1" x14ac:dyDescent="0.2">
      <c r="A2" s="4" t="s">
        <v>1</v>
      </c>
      <c r="B2" s="4"/>
      <c r="C2" s="4"/>
      <c r="D2" s="4"/>
      <c r="E2" s="4"/>
      <c r="F2" s="4"/>
    </row>
    <row r="3" spans="1:6" s="3" customFormat="1" ht="14.5" customHeight="1" x14ac:dyDescent="0.2">
      <c r="A3" s="4" t="s">
        <v>2</v>
      </c>
      <c r="B3" s="4"/>
      <c r="C3" s="4"/>
      <c r="D3" s="4"/>
      <c r="E3" s="4"/>
      <c r="F3" s="4"/>
    </row>
    <row r="4" spans="1:6" ht="13.25" customHeight="1" x14ac:dyDescent="0.15"/>
    <row r="5" spans="1:6" s="5" customFormat="1" ht="12" customHeight="1" x14ac:dyDescent="0.15">
      <c r="A5" s="7" t="s">
        <v>46</v>
      </c>
      <c r="B5" s="8" t="s">
        <v>4</v>
      </c>
      <c r="C5" s="8"/>
      <c r="D5" s="8" t="s">
        <v>5</v>
      </c>
      <c r="E5" s="8"/>
      <c r="F5" s="8" t="s">
        <v>6</v>
      </c>
    </row>
    <row r="6" spans="1:6" ht="13.25" customHeight="1" x14ac:dyDescent="0.15"/>
    <row r="7" spans="1:6" s="5" customFormat="1" ht="12" customHeight="1" x14ac:dyDescent="0.15">
      <c r="A7" s="6" t="s">
        <v>15</v>
      </c>
      <c r="B7" s="6"/>
      <c r="C7" s="6"/>
      <c r="D7" s="6"/>
      <c r="E7" s="6"/>
      <c r="F7" s="6"/>
    </row>
    <row r="8" spans="1:6" ht="11" customHeight="1" x14ac:dyDescent="0.15">
      <c r="A8" s="15" t="s">
        <v>47</v>
      </c>
      <c r="B8" s="16">
        <v>171034.43</v>
      </c>
      <c r="C8" s="15"/>
      <c r="D8" s="16">
        <v>599291.55000000005</v>
      </c>
      <c r="E8" s="15"/>
      <c r="F8" s="17">
        <f>((B8 - D8) / IF((D8 &lt; 0), (D8 * (-1)), D8))</f>
        <v>-0.71460563727287663</v>
      </c>
    </row>
    <row r="9" spans="1:6" ht="11" customHeight="1" x14ac:dyDescent="0.15">
      <c r="A9" s="10" t="s">
        <v>48</v>
      </c>
      <c r="B9" s="11">
        <v>2783.1</v>
      </c>
      <c r="C9" s="10"/>
      <c r="D9" s="11">
        <v>4353.21</v>
      </c>
      <c r="E9" s="10"/>
      <c r="F9" s="12">
        <f>((B9 - D9) / IF((D9 &lt; 0), (D9 * (-1)), D9))</f>
        <v>-0.36067867160095657</v>
      </c>
    </row>
    <row r="10" spans="1:6" ht="11" customHeight="1" x14ac:dyDescent="0.15">
      <c r="A10" s="18" t="s">
        <v>49</v>
      </c>
      <c r="B10" s="19">
        <f>SUM(B8:B9)</f>
        <v>173817.53</v>
      </c>
      <c r="C10" s="18"/>
      <c r="D10" s="19">
        <f>SUM(D8:D9)</f>
        <v>603644.76</v>
      </c>
      <c r="E10" s="18"/>
      <c r="F10" s="20">
        <f>((B10 - D10) / IF((D10 &lt; 0), (D10 * (-1)), D10))</f>
        <v>-0.71205327782518968</v>
      </c>
    </row>
    <row r="11" spans="1:6" ht="13.25" customHeight="1" x14ac:dyDescent="0.15"/>
    <row r="12" spans="1:6" s="5" customFormat="1" ht="12" customHeight="1" x14ac:dyDescent="0.15">
      <c r="A12" s="6" t="s">
        <v>50</v>
      </c>
      <c r="B12" s="6"/>
      <c r="C12" s="6"/>
      <c r="D12" s="6"/>
      <c r="E12" s="6"/>
      <c r="F12" s="6"/>
    </row>
    <row r="13" spans="1:6" ht="11" customHeight="1" x14ac:dyDescent="0.15">
      <c r="A13" s="15" t="s">
        <v>51</v>
      </c>
      <c r="B13" s="16">
        <v>128640.76</v>
      </c>
      <c r="C13" s="15"/>
      <c r="D13" s="16">
        <v>123460.88</v>
      </c>
      <c r="E13" s="15"/>
      <c r="F13" s="17">
        <f t="shared" ref="F13:F24" si="0">((B13 - D13) / IF((D13 &lt; 0), (D13 * (-1)), D13))</f>
        <v>4.1955638093621156E-2</v>
      </c>
    </row>
    <row r="14" spans="1:6" ht="11" customHeight="1" x14ac:dyDescent="0.15">
      <c r="A14" s="10" t="s">
        <v>52</v>
      </c>
      <c r="B14" s="11">
        <v>80149.240000000005</v>
      </c>
      <c r="C14" s="10"/>
      <c r="D14" s="11">
        <v>51709.45</v>
      </c>
      <c r="E14" s="10"/>
      <c r="F14" s="12">
        <f t="shared" si="0"/>
        <v>0.54999211942884729</v>
      </c>
    </row>
    <row r="15" spans="1:6" ht="11" customHeight="1" x14ac:dyDescent="0.15">
      <c r="A15" s="10" t="s">
        <v>53</v>
      </c>
      <c r="B15" s="11">
        <v>92579.71</v>
      </c>
      <c r="C15" s="10"/>
      <c r="D15" s="11">
        <v>123627.2</v>
      </c>
      <c r="E15" s="10"/>
      <c r="F15" s="12">
        <f t="shared" si="0"/>
        <v>-0.25113801817075848</v>
      </c>
    </row>
    <row r="16" spans="1:6" ht="11" customHeight="1" x14ac:dyDescent="0.15">
      <c r="A16" s="10" t="s">
        <v>54</v>
      </c>
      <c r="B16" s="11">
        <v>57921.2</v>
      </c>
      <c r="C16" s="10"/>
      <c r="D16" s="11">
        <v>33553.46</v>
      </c>
      <c r="E16" s="10"/>
      <c r="F16" s="12">
        <f t="shared" si="0"/>
        <v>0.72623628084853242</v>
      </c>
    </row>
    <row r="17" spans="1:6" ht="11" customHeight="1" x14ac:dyDescent="0.15">
      <c r="A17" s="10" t="s">
        <v>55</v>
      </c>
      <c r="B17" s="11">
        <v>12615.04</v>
      </c>
      <c r="C17" s="10"/>
      <c r="D17" s="11">
        <v>5915.83</v>
      </c>
      <c r="E17" s="10"/>
      <c r="F17" s="12">
        <f t="shared" si="0"/>
        <v>1.1324209789666033</v>
      </c>
    </row>
    <row r="18" spans="1:6" ht="11" customHeight="1" x14ac:dyDescent="0.15">
      <c r="A18" s="10" t="s">
        <v>56</v>
      </c>
      <c r="B18" s="11">
        <v>8401.6200000000008</v>
      </c>
      <c r="C18" s="10"/>
      <c r="D18" s="11">
        <v>11095.33</v>
      </c>
      <c r="E18" s="10"/>
      <c r="F18" s="12">
        <f t="shared" si="0"/>
        <v>-0.24277871861404746</v>
      </c>
    </row>
    <row r="19" spans="1:6" ht="11" customHeight="1" x14ac:dyDescent="0.15">
      <c r="A19" s="10" t="s">
        <v>57</v>
      </c>
      <c r="B19" s="11">
        <v>1885.96</v>
      </c>
      <c r="C19" s="10"/>
      <c r="D19" s="11">
        <v>2618.92</v>
      </c>
      <c r="E19" s="10"/>
      <c r="F19" s="12">
        <f t="shared" si="0"/>
        <v>-0.27987109190047804</v>
      </c>
    </row>
    <row r="20" spans="1:6" ht="11" customHeight="1" x14ac:dyDescent="0.15">
      <c r="A20" s="10" t="s">
        <v>58</v>
      </c>
      <c r="B20" s="11">
        <v>50748.63</v>
      </c>
      <c r="C20" s="10"/>
      <c r="D20" s="11">
        <v>33002.11</v>
      </c>
      <c r="E20" s="10"/>
      <c r="F20" s="12">
        <f t="shared" si="0"/>
        <v>0.53773895063073229</v>
      </c>
    </row>
    <row r="21" spans="1:6" ht="11" customHeight="1" x14ac:dyDescent="0.15">
      <c r="A21" s="10" t="s">
        <v>59</v>
      </c>
      <c r="B21" s="11">
        <v>1327.73</v>
      </c>
      <c r="C21" s="10"/>
      <c r="D21" s="11">
        <v>1600.53</v>
      </c>
      <c r="E21" s="10"/>
      <c r="F21" s="12">
        <f t="shared" si="0"/>
        <v>-0.17044354057718378</v>
      </c>
    </row>
    <row r="22" spans="1:6" ht="11" customHeight="1" x14ac:dyDescent="0.15">
      <c r="A22" s="10" t="s">
        <v>60</v>
      </c>
      <c r="B22" s="11">
        <v>17573.88</v>
      </c>
      <c r="C22" s="10"/>
      <c r="D22" s="11">
        <v>22395.439999999999</v>
      </c>
      <c r="E22" s="10"/>
      <c r="F22" s="12">
        <f t="shared" si="0"/>
        <v>-0.21529204159418158</v>
      </c>
    </row>
    <row r="23" spans="1:6" ht="11" customHeight="1" x14ac:dyDescent="0.15">
      <c r="A23" s="10" t="s">
        <v>61</v>
      </c>
      <c r="B23" s="11">
        <v>5460.43</v>
      </c>
      <c r="C23" s="10"/>
      <c r="D23" s="11">
        <v>3789.06</v>
      </c>
      <c r="E23" s="10"/>
      <c r="F23" s="12">
        <f t="shared" si="0"/>
        <v>0.44110412608932043</v>
      </c>
    </row>
    <row r="24" spans="1:6" ht="11" customHeight="1" x14ac:dyDescent="0.15">
      <c r="A24" s="10" t="s">
        <v>62</v>
      </c>
      <c r="B24" s="11">
        <v>24211.33</v>
      </c>
      <c r="C24" s="10"/>
      <c r="D24" s="11">
        <v>6340.8</v>
      </c>
      <c r="E24" s="10"/>
      <c r="F24" s="12">
        <f t="shared" si="0"/>
        <v>2.8183399571032051</v>
      </c>
    </row>
    <row r="25" spans="1:6" ht="11" customHeight="1" x14ac:dyDescent="0.15">
      <c r="A25" s="10" t="s">
        <v>63</v>
      </c>
      <c r="B25" s="11">
        <v>35437.74</v>
      </c>
      <c r="C25" s="10"/>
      <c r="D25" s="11">
        <v>0</v>
      </c>
      <c r="E25" s="10"/>
      <c r="F25" s="12">
        <f>0</f>
        <v>0</v>
      </c>
    </row>
    <row r="26" spans="1:6" ht="11" customHeight="1" x14ac:dyDescent="0.15">
      <c r="A26" s="10" t="s">
        <v>64</v>
      </c>
      <c r="B26" s="11">
        <v>1557.87</v>
      </c>
      <c r="C26" s="10"/>
      <c r="D26" s="11">
        <v>1282.51</v>
      </c>
      <c r="E26" s="10"/>
      <c r="F26" s="12">
        <f>((B26 - D26) / IF((D26 &lt; 0), (D26 * (-1)), D26))</f>
        <v>0.21470397891634366</v>
      </c>
    </row>
    <row r="27" spans="1:6" ht="11" customHeight="1" x14ac:dyDescent="0.15">
      <c r="A27" s="10" t="s">
        <v>65</v>
      </c>
      <c r="B27" s="11">
        <v>14866.41</v>
      </c>
      <c r="C27" s="10"/>
      <c r="D27" s="11">
        <v>35440.82</v>
      </c>
      <c r="E27" s="10"/>
      <c r="F27" s="12">
        <f>((B27 - D27) / IF((D27 &lt; 0), (D27 * (-1)), D27))</f>
        <v>-0.58052861079399409</v>
      </c>
    </row>
    <row r="28" spans="1:6" ht="11" customHeight="1" x14ac:dyDescent="0.15">
      <c r="A28" s="10" t="s">
        <v>66</v>
      </c>
      <c r="B28" s="11">
        <v>0</v>
      </c>
      <c r="C28" s="10"/>
      <c r="D28" s="11">
        <v>46.03</v>
      </c>
      <c r="E28" s="10"/>
      <c r="F28" s="12">
        <f>((B28 - D28) / IF((D28 &lt; 0), (D28 * (-1)), D28))</f>
        <v>-1</v>
      </c>
    </row>
    <row r="29" spans="1:6" ht="11" customHeight="1" x14ac:dyDescent="0.15">
      <c r="A29" s="10" t="s">
        <v>67</v>
      </c>
      <c r="B29" s="11">
        <v>402.55</v>
      </c>
      <c r="C29" s="10"/>
      <c r="D29" s="11">
        <v>0</v>
      </c>
      <c r="E29" s="10"/>
      <c r="F29" s="12">
        <f>0</f>
        <v>0</v>
      </c>
    </row>
    <row r="30" spans="1:6" ht="11" customHeight="1" x14ac:dyDescent="0.15">
      <c r="A30" s="10" t="s">
        <v>68</v>
      </c>
      <c r="B30" s="11">
        <v>8625.61</v>
      </c>
      <c r="C30" s="10"/>
      <c r="D30" s="11">
        <v>0</v>
      </c>
      <c r="E30" s="10"/>
      <c r="F30" s="12">
        <f>0</f>
        <v>0</v>
      </c>
    </row>
    <row r="31" spans="1:6" ht="11" customHeight="1" x14ac:dyDescent="0.15">
      <c r="A31" s="10" t="s">
        <v>69</v>
      </c>
      <c r="B31" s="11">
        <v>204.9</v>
      </c>
      <c r="C31" s="10"/>
      <c r="D31" s="11">
        <v>0</v>
      </c>
      <c r="E31" s="10"/>
      <c r="F31" s="12">
        <f>0</f>
        <v>0</v>
      </c>
    </row>
    <row r="32" spans="1:6" ht="11" customHeight="1" x14ac:dyDescent="0.15">
      <c r="A32" s="10" t="s">
        <v>70</v>
      </c>
      <c r="B32" s="11">
        <v>32424.86</v>
      </c>
      <c r="C32" s="10"/>
      <c r="D32" s="11">
        <v>0</v>
      </c>
      <c r="E32" s="10"/>
      <c r="F32" s="12">
        <f>0</f>
        <v>0</v>
      </c>
    </row>
    <row r="33" spans="1:6" ht="11" customHeight="1" x14ac:dyDescent="0.15">
      <c r="A33" s="10" t="s">
        <v>71</v>
      </c>
      <c r="B33" s="11">
        <v>3852.66</v>
      </c>
      <c r="C33" s="10"/>
      <c r="D33" s="11">
        <v>1111.4100000000001</v>
      </c>
      <c r="E33" s="10"/>
      <c r="F33" s="12">
        <f>((B33 - D33) / IF((D33 &lt; 0), (D33 * (-1)), D33))</f>
        <v>2.4664615218506221</v>
      </c>
    </row>
    <row r="34" spans="1:6" ht="11" customHeight="1" x14ac:dyDescent="0.15">
      <c r="A34" s="10" t="s">
        <v>72</v>
      </c>
      <c r="B34" s="11">
        <v>869.63</v>
      </c>
      <c r="C34" s="10"/>
      <c r="D34" s="11">
        <v>0</v>
      </c>
      <c r="E34" s="10"/>
      <c r="F34" s="12">
        <f>0</f>
        <v>0</v>
      </c>
    </row>
    <row r="35" spans="1:6" ht="11" customHeight="1" x14ac:dyDescent="0.15">
      <c r="A35" s="10" t="s">
        <v>73</v>
      </c>
      <c r="B35" s="11">
        <v>308.85000000000002</v>
      </c>
      <c r="C35" s="10"/>
      <c r="D35" s="11">
        <v>0</v>
      </c>
      <c r="E35" s="10"/>
      <c r="F35" s="12">
        <f>0</f>
        <v>0</v>
      </c>
    </row>
    <row r="36" spans="1:6" ht="11" customHeight="1" x14ac:dyDescent="0.15">
      <c r="A36" s="10" t="s">
        <v>74</v>
      </c>
      <c r="B36" s="11">
        <v>64.97</v>
      </c>
      <c r="C36" s="10"/>
      <c r="D36" s="11">
        <v>0</v>
      </c>
      <c r="E36" s="10"/>
      <c r="F36" s="12">
        <f>0</f>
        <v>0</v>
      </c>
    </row>
    <row r="37" spans="1:6" ht="11" customHeight="1" x14ac:dyDescent="0.15">
      <c r="A37" s="10" t="s">
        <v>75</v>
      </c>
      <c r="B37" s="11">
        <v>0</v>
      </c>
      <c r="C37" s="10"/>
      <c r="D37" s="11">
        <v>4773.51</v>
      </c>
      <c r="E37" s="10"/>
      <c r="F37" s="12">
        <f>((B37 - D37) / IF((D37 &lt; 0), (D37 * (-1)), D37))</f>
        <v>-1</v>
      </c>
    </row>
    <row r="38" spans="1:6" ht="11" customHeight="1" x14ac:dyDescent="0.15">
      <c r="A38" s="10" t="s">
        <v>76</v>
      </c>
      <c r="B38" s="11">
        <v>-16.21</v>
      </c>
      <c r="C38" s="10"/>
      <c r="D38" s="11">
        <v>0</v>
      </c>
      <c r="E38" s="10"/>
      <c r="F38" s="12">
        <f>0</f>
        <v>0</v>
      </c>
    </row>
    <row r="39" spans="1:6" ht="11" customHeight="1" x14ac:dyDescent="0.15">
      <c r="A39" s="18" t="s">
        <v>77</v>
      </c>
      <c r="B39" s="19">
        <f>SUM(B13:B38)</f>
        <v>580115.37000000011</v>
      </c>
      <c r="C39" s="18"/>
      <c r="D39" s="19">
        <f>SUM(D13:D38)</f>
        <v>461763.2900000001</v>
      </c>
      <c r="E39" s="18"/>
      <c r="F39" s="20">
        <f>((B39 - D39) / IF((D39 &lt; 0), (D39 * (-1)), D39))</f>
        <v>0.25630465340802644</v>
      </c>
    </row>
    <row r="40" spans="1:6" ht="13.25" customHeight="1" x14ac:dyDescent="0.15"/>
    <row r="41" spans="1:6" ht="11" customHeight="1" x14ac:dyDescent="0.15">
      <c r="A41" s="21" t="s">
        <v>78</v>
      </c>
      <c r="B41" s="22">
        <f>(B10 - B39)</f>
        <v>-406297.84000000008</v>
      </c>
      <c r="C41" s="21"/>
      <c r="D41" s="22">
        <f>(D10 - D39)</f>
        <v>141881.46999999991</v>
      </c>
      <c r="E41" s="21"/>
      <c r="F41" s="23">
        <f>((B41 - D41) / IF((D41 &lt; 0), (D41 * (-1)), D41))</f>
        <v>-3.8636427293853131</v>
      </c>
    </row>
    <row r="42" spans="1:6" ht="13.25" customHeight="1" x14ac:dyDescent="0.15"/>
    <row r="43" spans="1:6" s="5" customFormat="1" ht="12" customHeight="1" x14ac:dyDescent="0.15">
      <c r="A43" s="6" t="s">
        <v>79</v>
      </c>
      <c r="B43" s="6"/>
      <c r="C43" s="6"/>
      <c r="D43" s="6"/>
      <c r="E43" s="6"/>
      <c r="F43" s="6"/>
    </row>
    <row r="44" spans="1:6" ht="11" customHeight="1" x14ac:dyDescent="0.15">
      <c r="A44" s="15" t="s">
        <v>80</v>
      </c>
      <c r="B44" s="16">
        <v>-1265.77</v>
      </c>
      <c r="C44" s="15"/>
      <c r="D44" s="16">
        <v>-1611.04</v>
      </c>
      <c r="E44" s="15"/>
      <c r="F44" s="17">
        <f>((B44 - D44) / IF((D44 &lt; 0), (D44 * (-1)), D44))</f>
        <v>0.21431497666103883</v>
      </c>
    </row>
    <row r="45" spans="1:6" ht="11" customHeight="1" x14ac:dyDescent="0.15">
      <c r="A45" s="18" t="s">
        <v>81</v>
      </c>
      <c r="B45" s="19">
        <f>B44</f>
        <v>-1265.77</v>
      </c>
      <c r="C45" s="18"/>
      <c r="D45" s="19">
        <f>D44</f>
        <v>-1611.04</v>
      </c>
      <c r="E45" s="18"/>
      <c r="F45" s="20">
        <f>((B45 - D45) / IF((D45 &lt; 0), (D45 * (-1)), D45))</f>
        <v>0.21431497666103883</v>
      </c>
    </row>
    <row r="46" spans="1:6" ht="13.25" customHeight="1" x14ac:dyDescent="0.15"/>
    <row r="47" spans="1:6" s="5" customFormat="1" ht="12" customHeight="1" x14ac:dyDescent="0.15">
      <c r="A47" s="6" t="s">
        <v>82</v>
      </c>
      <c r="B47" s="6"/>
      <c r="C47" s="6"/>
      <c r="D47" s="6"/>
      <c r="E47" s="6"/>
      <c r="F47" s="6"/>
    </row>
    <row r="48" spans="1:6" ht="11" customHeight="1" x14ac:dyDescent="0.15">
      <c r="A48" s="15" t="s">
        <v>83</v>
      </c>
      <c r="B48" s="16">
        <v>0</v>
      </c>
      <c r="C48" s="15"/>
      <c r="D48" s="16">
        <v>4773.51</v>
      </c>
      <c r="E48" s="15"/>
      <c r="F48" s="17">
        <f>((B48 - D48) / IF((D48 &lt; 0), (D48 * (-1)), D48))</f>
        <v>-1</v>
      </c>
    </row>
    <row r="49" spans="1:6" ht="11" customHeight="1" x14ac:dyDescent="0.15">
      <c r="A49" s="18" t="s">
        <v>84</v>
      </c>
      <c r="B49" s="19">
        <f>B48</f>
        <v>0</v>
      </c>
      <c r="C49" s="18"/>
      <c r="D49" s="19">
        <f>D48</f>
        <v>4773.51</v>
      </c>
      <c r="E49" s="18"/>
      <c r="F49" s="20">
        <f>((B49 - D49) / IF((D49 &lt; 0), (D49 * (-1)), D49))</f>
        <v>-1</v>
      </c>
    </row>
    <row r="50" spans="1:6" ht="13.25" customHeight="1" x14ac:dyDescent="0.15"/>
    <row r="51" spans="1:6" s="5" customFormat="1" ht="12" customHeight="1" x14ac:dyDescent="0.15">
      <c r="A51" s="6" t="s">
        <v>85</v>
      </c>
      <c r="B51" s="6"/>
      <c r="C51" s="6"/>
      <c r="D51" s="6"/>
      <c r="E51" s="6"/>
      <c r="F51" s="6"/>
    </row>
    <row r="52" spans="1:6" ht="11" customHeight="1" x14ac:dyDescent="0.15">
      <c r="A52" s="15" t="s">
        <v>86</v>
      </c>
      <c r="B52" s="16">
        <v>-45.01</v>
      </c>
      <c r="C52" s="15"/>
      <c r="D52" s="16">
        <v>0</v>
      </c>
      <c r="E52" s="15"/>
      <c r="F52" s="17">
        <f>0</f>
        <v>0</v>
      </c>
    </row>
    <row r="53" spans="1:6" ht="11" customHeight="1" x14ac:dyDescent="0.15">
      <c r="A53" s="18" t="s">
        <v>87</v>
      </c>
      <c r="B53" s="19">
        <f>B52</f>
        <v>-45.01</v>
      </c>
      <c r="C53" s="18"/>
      <c r="D53" s="19">
        <f>D52</f>
        <v>0</v>
      </c>
      <c r="E53" s="18"/>
      <c r="F53" s="20">
        <f>0</f>
        <v>0</v>
      </c>
    </row>
    <row r="54" spans="1:6" ht="13.25" customHeight="1" x14ac:dyDescent="0.15"/>
    <row r="55" spans="1:6" ht="11" customHeight="1" x14ac:dyDescent="0.15">
      <c r="A55" s="21" t="s">
        <v>88</v>
      </c>
      <c r="B55" s="22">
        <f>((((B41 + B45) + B49) + 0) + B53)</f>
        <v>-407608.62000000011</v>
      </c>
      <c r="C55" s="21"/>
      <c r="D55" s="22">
        <f>((((D41 + D45) + D49) + 0) + D53)</f>
        <v>145043.93999999992</v>
      </c>
      <c r="E55" s="21"/>
      <c r="F55" s="23">
        <f>((B55 - D55) / IF((D55 &lt; 0), (D55 * (-1)), D55))</f>
        <v>-3.8102423307033741</v>
      </c>
    </row>
    <row r="56" spans="1:6" ht="13.25" customHeight="1" x14ac:dyDescent="0.15"/>
    <row r="57" spans="1:6" s="5" customFormat="1" ht="12" customHeight="1" x14ac:dyDescent="0.15">
      <c r="A57" s="6" t="s">
        <v>89</v>
      </c>
      <c r="B57" s="6"/>
      <c r="C57" s="6"/>
      <c r="D57" s="6"/>
      <c r="E57" s="6"/>
      <c r="F57" s="6"/>
    </row>
    <row r="58" spans="1:6" ht="11" customHeight="1" x14ac:dyDescent="0.15">
      <c r="A58" s="15" t="s">
        <v>90</v>
      </c>
      <c r="B58" s="16">
        <v>416784.41</v>
      </c>
      <c r="C58" s="15"/>
      <c r="D58" s="16">
        <v>278621.46000000002</v>
      </c>
      <c r="E58" s="15"/>
      <c r="F58" s="17">
        <f>((B58 - D58) / IF((D58 &lt; 0), (D58 * (-1)), D58))</f>
        <v>0.49588050396405198</v>
      </c>
    </row>
    <row r="59" spans="1:6" ht="11" customHeight="1" x14ac:dyDescent="0.15">
      <c r="A59" s="10" t="s">
        <v>91</v>
      </c>
      <c r="B59" s="11">
        <v>-407608.62</v>
      </c>
      <c r="C59" s="10"/>
      <c r="D59" s="11">
        <v>145043.94</v>
      </c>
      <c r="E59" s="10"/>
      <c r="F59" s="12">
        <f>((B59 - D59) / IF((D59 &lt; 0), (D59 * (-1)), D59))</f>
        <v>-3.8102423307033719</v>
      </c>
    </row>
    <row r="60" spans="1:6" ht="11" customHeight="1" x14ac:dyDescent="0.15">
      <c r="A60" s="10" t="s">
        <v>92</v>
      </c>
      <c r="B60" s="11">
        <v>14610.96</v>
      </c>
      <c r="C60" s="10" t="s">
        <v>13</v>
      </c>
      <c r="D60" s="11">
        <v>-6880.99</v>
      </c>
      <c r="E60" s="10" t="s">
        <v>13</v>
      </c>
      <c r="F60" s="12">
        <f>((B60 - D60) / IF((D60 &lt; 0), (D60 * (-1)), D60))</f>
        <v>3.1233805019335876</v>
      </c>
    </row>
    <row r="61" spans="1:6" ht="11" customHeight="1" x14ac:dyDescent="0.15">
      <c r="A61" s="10" t="s">
        <v>93</v>
      </c>
      <c r="B61" s="11">
        <v>23786.75</v>
      </c>
      <c r="C61" s="10"/>
      <c r="D61" s="11">
        <v>416784.41</v>
      </c>
      <c r="E61" s="10"/>
      <c r="F61" s="12">
        <f>((B61 - D61) / IF((D61 &lt; 0), (D61 * (-1)), D61))</f>
        <v>-0.94292792765449163</v>
      </c>
    </row>
    <row r="62" spans="1:6" ht="13.25" customHeight="1" x14ac:dyDescent="0.15"/>
    <row r="63" spans="1:6" ht="13.25" customHeight="1" x14ac:dyDescent="0.15"/>
    <row r="64" spans="1:6" ht="11" customHeight="1" x14ac:dyDescent="0.15">
      <c r="A64" s="13" t="s">
        <v>38</v>
      </c>
    </row>
    <row r="65" spans="1:1" ht="11" customHeight="1" x14ac:dyDescent="0.15">
      <c r="A65" s="14" t="s">
        <v>39</v>
      </c>
    </row>
    <row r="66" spans="1:1" ht="11" customHeight="1" x14ac:dyDescent="0.15">
      <c r="A66" s="13" t="s">
        <v>94</v>
      </c>
    </row>
    <row r="67" spans="1:1" ht="11" customHeight="1" x14ac:dyDescent="0.15">
      <c r="A67" s="13" t="s">
        <v>95</v>
      </c>
    </row>
    <row r="68" spans="1:1" ht="11" customHeight="1" x14ac:dyDescent="0.15">
      <c r="A68" s="13" t="s">
        <v>41</v>
      </c>
    </row>
    <row r="69" spans="1:1" ht="11" customHeight="1" x14ac:dyDescent="0.15">
      <c r="A69" s="13" t="s">
        <v>96</v>
      </c>
    </row>
    <row r="70" spans="1:1" ht="11" customHeight="1" x14ac:dyDescent="0.15">
      <c r="A70" s="14" t="s">
        <v>43</v>
      </c>
    </row>
    <row r="71" spans="1:1" ht="11" customHeight="1" x14ac:dyDescent="0.15">
      <c r="A71" s="13" t="s">
        <v>97</v>
      </c>
    </row>
    <row r="72" spans="1:1" ht="11" customHeight="1" x14ac:dyDescent="0.15">
      <c r="A72" s="13" t="s">
        <v>98</v>
      </c>
    </row>
    <row r="73" spans="1:1" ht="11" customHeight="1" x14ac:dyDescent="0.15">
      <c r="A73" s="13" t="s">
        <v>44</v>
      </c>
    </row>
    <row r="74" spans="1:1" ht="11" customHeight="1" x14ac:dyDescent="0.15">
      <c r="A74" s="13" t="s">
        <v>99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6"/>
  <sheetViews>
    <sheetView showGridLines="0" zoomScaleNormal="100" workbookViewId="0"/>
  </sheetViews>
  <sheetFormatPr baseColWidth="10" defaultColWidth="9" defaultRowHeight="12" x14ac:dyDescent="0.15"/>
  <cols>
    <col min="1" max="1" width="35.796875" customWidth="1"/>
    <col min="2" max="2" width="8.796875" customWidth="1"/>
    <col min="3" max="3" width="8.3984375" customWidth="1"/>
    <col min="4" max="4" width="14.19921875" customWidth="1"/>
  </cols>
  <sheetData>
    <row r="1" spans="1:4" s="1" customFormat="1" ht="16.75" customHeight="1" x14ac:dyDescent="0.2">
      <c r="A1" s="2" t="s">
        <v>100</v>
      </c>
      <c r="B1" s="2"/>
      <c r="C1" s="2"/>
      <c r="D1" s="2"/>
    </row>
    <row r="2" spans="1:4" s="3" customFormat="1" ht="14.5" customHeight="1" x14ac:dyDescent="0.2">
      <c r="A2" s="4" t="s">
        <v>1</v>
      </c>
      <c r="B2" s="4"/>
      <c r="C2" s="4"/>
      <c r="D2" s="4"/>
    </row>
    <row r="3" spans="1:4" s="3" customFormat="1" ht="14.5" customHeight="1" x14ac:dyDescent="0.2">
      <c r="A3" s="4" t="s">
        <v>2</v>
      </c>
      <c r="B3" s="4"/>
      <c r="C3" s="4"/>
      <c r="D3" s="4"/>
    </row>
    <row r="4" spans="1:4" s="3" customFormat="1" ht="14.5" customHeight="1" x14ac:dyDescent="0.2">
      <c r="A4" s="4" t="s">
        <v>101</v>
      </c>
      <c r="B4" s="4"/>
      <c r="C4" s="4"/>
      <c r="D4" s="4"/>
    </row>
    <row r="5" spans="1:4" ht="13.25" customHeight="1" x14ac:dyDescent="0.15"/>
    <row r="6" spans="1:4" s="5" customFormat="1" ht="12" customHeight="1" x14ac:dyDescent="0.15">
      <c r="A6" s="7" t="s">
        <v>46</v>
      </c>
      <c r="B6" s="8" t="s">
        <v>4</v>
      </c>
      <c r="C6" s="8" t="s">
        <v>5</v>
      </c>
      <c r="D6" s="8" t="s">
        <v>102</v>
      </c>
    </row>
    <row r="7" spans="1:4" ht="13.25" customHeight="1" x14ac:dyDescent="0.15"/>
    <row r="8" spans="1:4" s="5" customFormat="1" ht="12" customHeight="1" x14ac:dyDescent="0.15">
      <c r="A8" s="6" t="s">
        <v>103</v>
      </c>
      <c r="B8" s="6"/>
      <c r="C8" s="6"/>
      <c r="D8" s="6"/>
    </row>
    <row r="9" spans="1:4" ht="11" customHeight="1" x14ac:dyDescent="0.15">
      <c r="A9" s="15" t="s">
        <v>104</v>
      </c>
      <c r="B9" s="16">
        <v>171034.43</v>
      </c>
      <c r="C9" s="16">
        <v>599291.55000000005</v>
      </c>
      <c r="D9" s="16">
        <v>171034.43</v>
      </c>
    </row>
    <row r="10" spans="1:4" ht="11" customHeight="1" x14ac:dyDescent="0.15">
      <c r="A10" s="10" t="s">
        <v>105</v>
      </c>
      <c r="B10" s="11">
        <v>2783.1</v>
      </c>
      <c r="C10" s="11">
        <v>4353.21</v>
      </c>
      <c r="D10" s="11">
        <v>2783.1</v>
      </c>
    </row>
    <row r="11" spans="1:4" ht="11" customHeight="1" x14ac:dyDescent="0.15">
      <c r="A11" s="18" t="s">
        <v>106</v>
      </c>
      <c r="B11" s="19">
        <f>SUM(B9:B10)</f>
        <v>173817.53</v>
      </c>
      <c r="C11" s="19">
        <f>SUM(C9:C10)</f>
        <v>603644.76</v>
      </c>
      <c r="D11" s="19">
        <f>SUM(D9:D10)</f>
        <v>173817.53</v>
      </c>
    </row>
    <row r="12" spans="1:4" ht="13.25" customHeight="1" x14ac:dyDescent="0.15"/>
    <row r="13" spans="1:4" s="5" customFormat="1" ht="12" customHeight="1" x14ac:dyDescent="0.15">
      <c r="A13" s="6" t="s">
        <v>107</v>
      </c>
      <c r="B13" s="6"/>
      <c r="C13" s="6"/>
      <c r="D13" s="6"/>
    </row>
    <row r="14" spans="1:4" ht="11" customHeight="1" x14ac:dyDescent="0.15">
      <c r="A14" s="15" t="s">
        <v>108</v>
      </c>
      <c r="B14" s="16">
        <v>128640.76</v>
      </c>
      <c r="C14" s="16">
        <v>123460.88</v>
      </c>
      <c r="D14" s="16">
        <v>128640.76</v>
      </c>
    </row>
    <row r="15" spans="1:4" ht="11" customHeight="1" x14ac:dyDescent="0.15">
      <c r="A15" s="10" t="s">
        <v>109</v>
      </c>
      <c r="B15" s="11">
        <v>80149.240000000005</v>
      </c>
      <c r="C15" s="11">
        <v>51709.45</v>
      </c>
      <c r="D15" s="11">
        <v>80149.240000000005</v>
      </c>
    </row>
    <row r="16" spans="1:4" ht="11" customHeight="1" x14ac:dyDescent="0.15">
      <c r="A16" s="10" t="s">
        <v>110</v>
      </c>
      <c r="B16" s="11">
        <v>92579.71</v>
      </c>
      <c r="C16" s="11">
        <v>123627.2</v>
      </c>
      <c r="D16" s="11">
        <v>92579.71</v>
      </c>
    </row>
    <row r="17" spans="1:4" ht="11" customHeight="1" x14ac:dyDescent="0.15">
      <c r="A17" s="10" t="s">
        <v>111</v>
      </c>
      <c r="B17" s="11">
        <v>57921.2</v>
      </c>
      <c r="C17" s="11">
        <v>33553.46</v>
      </c>
      <c r="D17" s="11">
        <v>57921.2</v>
      </c>
    </row>
    <row r="18" spans="1:4" ht="11" customHeight="1" x14ac:dyDescent="0.15">
      <c r="A18" s="10" t="s">
        <v>112</v>
      </c>
      <c r="B18" s="11">
        <v>12615.04</v>
      </c>
      <c r="C18" s="11">
        <v>5915.83</v>
      </c>
      <c r="D18" s="11">
        <v>12615.04</v>
      </c>
    </row>
    <row r="19" spans="1:4" ht="11" customHeight="1" x14ac:dyDescent="0.15">
      <c r="A19" s="10" t="s">
        <v>113</v>
      </c>
      <c r="B19" s="11">
        <v>8401.6200000000008</v>
      </c>
      <c r="C19" s="11">
        <v>11095.33</v>
      </c>
      <c r="D19" s="11">
        <v>8401.6200000000008</v>
      </c>
    </row>
    <row r="20" spans="1:4" ht="11" customHeight="1" x14ac:dyDescent="0.15">
      <c r="A20" s="10" t="s">
        <v>114</v>
      </c>
      <c r="B20" s="11">
        <v>1909.97</v>
      </c>
      <c r="C20" s="11">
        <v>2618.92</v>
      </c>
      <c r="D20" s="11">
        <v>1909.97</v>
      </c>
    </row>
    <row r="21" spans="1:4" ht="11" customHeight="1" x14ac:dyDescent="0.15">
      <c r="A21" s="10" t="s">
        <v>115</v>
      </c>
      <c r="B21" s="11">
        <v>50748.63</v>
      </c>
      <c r="C21" s="11">
        <v>33002.11</v>
      </c>
      <c r="D21" s="11">
        <v>50748.63</v>
      </c>
    </row>
    <row r="22" spans="1:4" ht="11" customHeight="1" x14ac:dyDescent="0.15">
      <c r="A22" s="10" t="s">
        <v>116</v>
      </c>
      <c r="B22" s="11">
        <v>1327.73</v>
      </c>
      <c r="C22" s="11">
        <v>1600.53</v>
      </c>
      <c r="D22" s="11">
        <v>1327.73</v>
      </c>
    </row>
    <row r="23" spans="1:4" ht="11" customHeight="1" x14ac:dyDescent="0.15">
      <c r="A23" s="10" t="s">
        <v>117</v>
      </c>
      <c r="B23" s="11">
        <v>17573.88</v>
      </c>
      <c r="C23" s="11">
        <v>22395.439999999999</v>
      </c>
      <c r="D23" s="11">
        <v>17573.88</v>
      </c>
    </row>
    <row r="24" spans="1:4" ht="11" customHeight="1" x14ac:dyDescent="0.15">
      <c r="A24" s="10" t="s">
        <v>118</v>
      </c>
      <c r="B24" s="11">
        <v>5460.43</v>
      </c>
      <c r="C24" s="11">
        <v>3789.06</v>
      </c>
      <c r="D24" s="11">
        <v>5460.43</v>
      </c>
    </row>
    <row r="25" spans="1:4" ht="11" customHeight="1" x14ac:dyDescent="0.15">
      <c r="A25" s="10" t="s">
        <v>119</v>
      </c>
      <c r="B25" s="11">
        <v>24211.33</v>
      </c>
      <c r="C25" s="11">
        <v>6340.8</v>
      </c>
      <c r="D25" s="11">
        <v>24211.33</v>
      </c>
    </row>
    <row r="26" spans="1:4" ht="11" customHeight="1" x14ac:dyDescent="0.15">
      <c r="A26" s="18" t="s">
        <v>120</v>
      </c>
      <c r="B26" s="19">
        <f>SUM(B14:B25)</f>
        <v>481539.54</v>
      </c>
      <c r="C26" s="19">
        <f>SUM(C14:C25)</f>
        <v>419109.01000000007</v>
      </c>
      <c r="D26" s="19">
        <f>SUM(D14:D25)</f>
        <v>481539.54</v>
      </c>
    </row>
    <row r="27" spans="1:4" ht="13.25" customHeight="1" x14ac:dyDescent="0.15"/>
    <row r="28" spans="1:4" ht="11" customHeight="1" x14ac:dyDescent="0.15">
      <c r="A28" s="21" t="s">
        <v>121</v>
      </c>
      <c r="B28" s="22">
        <f>(B11 - B26)</f>
        <v>-307722.01</v>
      </c>
      <c r="C28" s="22">
        <f>(C11 - C26)</f>
        <v>184535.74999999994</v>
      </c>
      <c r="D28" s="22">
        <f>(D11 - D26)</f>
        <v>-307722.01</v>
      </c>
    </row>
    <row r="29" spans="1:4" ht="13.25" customHeight="1" x14ac:dyDescent="0.15"/>
    <row r="30" spans="1:4" s="5" customFormat="1" ht="12" customHeight="1" x14ac:dyDescent="0.15">
      <c r="A30" s="6" t="s">
        <v>122</v>
      </c>
      <c r="B30" s="6"/>
      <c r="C30" s="6"/>
      <c r="D30" s="6"/>
    </row>
    <row r="31" spans="1:4" ht="11" customHeight="1" x14ac:dyDescent="0.15">
      <c r="A31" s="15" t="s">
        <v>123</v>
      </c>
      <c r="B31" s="16">
        <v>35437.74</v>
      </c>
      <c r="C31" s="16">
        <v>0</v>
      </c>
      <c r="D31" s="16">
        <v>35437.74</v>
      </c>
    </row>
    <row r="32" spans="1:4" ht="11" customHeight="1" x14ac:dyDescent="0.15">
      <c r="A32" s="10" t="s">
        <v>124</v>
      </c>
      <c r="B32" s="11">
        <v>1557.87</v>
      </c>
      <c r="C32" s="11">
        <v>1282.51</v>
      </c>
      <c r="D32" s="11">
        <v>1557.87</v>
      </c>
    </row>
    <row r="33" spans="1:4" ht="11" customHeight="1" x14ac:dyDescent="0.15">
      <c r="A33" s="10" t="s">
        <v>125</v>
      </c>
      <c r="B33" s="11">
        <v>14866.41</v>
      </c>
      <c r="C33" s="11">
        <v>35440.82</v>
      </c>
      <c r="D33" s="11">
        <v>14866.41</v>
      </c>
    </row>
    <row r="34" spans="1:4" ht="11" customHeight="1" x14ac:dyDescent="0.15">
      <c r="A34" s="10" t="s">
        <v>126</v>
      </c>
      <c r="B34" s="11">
        <v>1682.66</v>
      </c>
      <c r="C34" s="11">
        <v>46.03</v>
      </c>
      <c r="D34" s="11">
        <v>1682.66</v>
      </c>
    </row>
    <row r="35" spans="1:4" ht="11" customHeight="1" x14ac:dyDescent="0.15">
      <c r="A35" s="10" t="s">
        <v>127</v>
      </c>
      <c r="B35" s="11">
        <v>402.55</v>
      </c>
      <c r="C35" s="11">
        <v>0</v>
      </c>
      <c r="D35" s="11">
        <v>402.55</v>
      </c>
    </row>
    <row r="36" spans="1:4" ht="11" customHeight="1" x14ac:dyDescent="0.15">
      <c r="A36" s="10" t="s">
        <v>128</v>
      </c>
      <c r="B36" s="11">
        <v>8625.61</v>
      </c>
      <c r="C36" s="11">
        <v>0</v>
      </c>
      <c r="D36" s="11">
        <v>8625.61</v>
      </c>
    </row>
    <row r="37" spans="1:4" ht="11" customHeight="1" x14ac:dyDescent="0.15">
      <c r="A37" s="10" t="s">
        <v>129</v>
      </c>
      <c r="B37" s="11">
        <v>204.9</v>
      </c>
      <c r="C37" s="11">
        <v>0</v>
      </c>
      <c r="D37" s="11">
        <v>204.9</v>
      </c>
    </row>
    <row r="38" spans="1:4" ht="11" customHeight="1" x14ac:dyDescent="0.15">
      <c r="A38" s="10" t="s">
        <v>130</v>
      </c>
      <c r="B38" s="11">
        <v>32424.86</v>
      </c>
      <c r="C38" s="11">
        <v>0</v>
      </c>
      <c r="D38" s="11">
        <v>32424.86</v>
      </c>
    </row>
    <row r="39" spans="1:4" ht="11" customHeight="1" x14ac:dyDescent="0.15">
      <c r="A39" s="10" t="s">
        <v>131</v>
      </c>
      <c r="B39" s="11">
        <v>3852.66</v>
      </c>
      <c r="C39" s="11">
        <v>1111.4100000000001</v>
      </c>
      <c r="D39" s="11">
        <v>3852.66</v>
      </c>
    </row>
    <row r="40" spans="1:4" ht="11" customHeight="1" x14ac:dyDescent="0.15">
      <c r="A40" s="10" t="s">
        <v>132</v>
      </c>
      <c r="B40" s="11">
        <v>869.63</v>
      </c>
      <c r="C40" s="11">
        <v>0</v>
      </c>
      <c r="D40" s="11">
        <v>869.63</v>
      </c>
    </row>
    <row r="41" spans="1:4" ht="11" customHeight="1" x14ac:dyDescent="0.15">
      <c r="A41" s="10" t="s">
        <v>133</v>
      </c>
      <c r="B41" s="11">
        <v>-14610.96</v>
      </c>
      <c r="C41" s="11">
        <v>6880.99</v>
      </c>
      <c r="D41" s="11">
        <v>-14610.96</v>
      </c>
    </row>
    <row r="42" spans="1:4" ht="11" customHeight="1" x14ac:dyDescent="0.15">
      <c r="A42" s="10" t="s">
        <v>134</v>
      </c>
      <c r="B42" s="11">
        <v>0.1</v>
      </c>
      <c r="C42" s="11">
        <v>0</v>
      </c>
      <c r="D42" s="11">
        <v>0.1</v>
      </c>
    </row>
    <row r="43" spans="1:4" ht="11" customHeight="1" x14ac:dyDescent="0.15">
      <c r="A43" s="10" t="s">
        <v>135</v>
      </c>
      <c r="B43" s="11">
        <v>45.01</v>
      </c>
      <c r="C43" s="11">
        <v>0</v>
      </c>
      <c r="D43" s="11">
        <v>45.01</v>
      </c>
    </row>
    <row r="44" spans="1:4" ht="11" customHeight="1" x14ac:dyDescent="0.15">
      <c r="A44" s="18" t="s">
        <v>136</v>
      </c>
      <c r="B44" s="19">
        <f>SUM(B31:B43)</f>
        <v>85359.040000000023</v>
      </c>
      <c r="C44" s="19">
        <f>SUM(C31:C43)</f>
        <v>44761.760000000002</v>
      </c>
      <c r="D44" s="19">
        <f>SUM(D31:D43)</f>
        <v>85359.040000000023</v>
      </c>
    </row>
    <row r="45" spans="1:4" ht="13.25" customHeight="1" x14ac:dyDescent="0.15"/>
    <row r="46" spans="1:4" ht="11" customHeight="1" x14ac:dyDescent="0.15">
      <c r="A46" s="21" t="s">
        <v>137</v>
      </c>
      <c r="B46" s="22">
        <f>((B28 + 0) - B44)</f>
        <v>-393081.05000000005</v>
      </c>
      <c r="C46" s="22">
        <f>((C28 + 0) - C44)</f>
        <v>139773.98999999993</v>
      </c>
      <c r="D46" s="22">
        <f>((D28 + 0) - D44)</f>
        <v>-393081.05000000005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5"/>
  <sheetViews>
    <sheetView showGridLines="0" zoomScaleNormal="100" workbookViewId="0"/>
  </sheetViews>
  <sheetFormatPr baseColWidth="10" defaultColWidth="9" defaultRowHeight="12" x14ac:dyDescent="0.15"/>
  <cols>
    <col min="1" max="1" width="1.3984375" customWidth="1"/>
    <col min="2" max="2" width="57" customWidth="1"/>
    <col min="3" max="3" width="13.796875" customWidth="1"/>
    <col min="4" max="4" width="5.3984375" customWidth="1"/>
    <col min="5" max="5" width="13.796875" customWidth="1"/>
    <col min="6" max="6" width="5.3984375" customWidth="1"/>
  </cols>
  <sheetData>
    <row r="1" spans="1:6" s="1" customFormat="1" ht="16.75" customHeight="1" x14ac:dyDescent="0.2">
      <c r="A1" s="2" t="s">
        <v>21</v>
      </c>
      <c r="B1" s="2"/>
      <c r="C1" s="2"/>
      <c r="D1" s="2"/>
      <c r="E1" s="2"/>
      <c r="F1" s="2"/>
    </row>
    <row r="2" spans="1:6" s="3" customFormat="1" ht="14.5" customHeight="1" x14ac:dyDescent="0.2">
      <c r="A2" s="4" t="s">
        <v>1</v>
      </c>
      <c r="B2" s="4"/>
      <c r="C2" s="4"/>
      <c r="D2" s="4"/>
      <c r="E2" s="4"/>
      <c r="F2" s="4"/>
    </row>
    <row r="3" spans="1:6" s="3" customFormat="1" ht="14.5" customHeight="1" x14ac:dyDescent="0.2">
      <c r="A3" s="4" t="s">
        <v>138</v>
      </c>
      <c r="B3" s="4"/>
      <c r="C3" s="4"/>
      <c r="D3" s="4"/>
      <c r="E3" s="4"/>
      <c r="F3" s="4"/>
    </row>
    <row r="4" spans="1:6" s="3" customFormat="1" ht="14.5" customHeight="1" x14ac:dyDescent="0.2">
      <c r="A4" s="4" t="s">
        <v>101</v>
      </c>
      <c r="B4" s="4"/>
      <c r="C4" s="4"/>
      <c r="D4" s="4"/>
      <c r="E4" s="4"/>
      <c r="F4" s="4"/>
    </row>
    <row r="5" spans="1:6" ht="13.25" customHeight="1" x14ac:dyDescent="0.15"/>
    <row r="6" spans="1:6" s="5" customFormat="1" ht="12" customHeight="1" x14ac:dyDescent="0.15">
      <c r="A6" s="6"/>
      <c r="B6" s="7" t="s">
        <v>46</v>
      </c>
      <c r="C6" s="8" t="s">
        <v>39</v>
      </c>
      <c r="D6" s="8"/>
      <c r="E6" s="8" t="s">
        <v>43</v>
      </c>
      <c r="F6" s="8"/>
    </row>
    <row r="7" spans="1:6" ht="13.25" customHeight="1" x14ac:dyDescent="0.15"/>
    <row r="8" spans="1:6" s="5" customFormat="1" ht="12" customHeight="1" x14ac:dyDescent="0.15">
      <c r="A8" s="6" t="s">
        <v>139</v>
      </c>
      <c r="B8" s="6"/>
      <c r="C8" s="6"/>
      <c r="D8" s="6"/>
      <c r="E8" s="6"/>
      <c r="F8" s="6"/>
    </row>
    <row r="9" spans="1:6" ht="11" customHeight="1" x14ac:dyDescent="0.15">
      <c r="A9" s="9"/>
      <c r="B9" s="9" t="s">
        <v>140</v>
      </c>
      <c r="C9" s="9"/>
      <c r="D9" s="9"/>
      <c r="E9" s="9"/>
      <c r="F9" s="9"/>
    </row>
    <row r="10" spans="1:6" ht="11" customHeight="1" x14ac:dyDescent="0.15">
      <c r="B10" s="10" t="s">
        <v>141</v>
      </c>
      <c r="C10" s="11">
        <v>23493.98</v>
      </c>
      <c r="D10" s="10" t="s">
        <v>13</v>
      </c>
      <c r="E10" s="11">
        <v>137815.46</v>
      </c>
      <c r="F10" s="10" t="s">
        <v>13</v>
      </c>
    </row>
    <row r="11" spans="1:6" ht="11" customHeight="1" x14ac:dyDescent="0.15">
      <c r="B11" s="10" t="s">
        <v>142</v>
      </c>
      <c r="C11" s="11">
        <v>292.77</v>
      </c>
      <c r="D11" s="10"/>
      <c r="E11" s="11">
        <v>278968.95</v>
      </c>
      <c r="F11" s="10"/>
    </row>
    <row r="12" spans="1:6" ht="11" customHeight="1" x14ac:dyDescent="0.15">
      <c r="B12" s="18" t="s">
        <v>143</v>
      </c>
      <c r="C12" s="19">
        <f>SUM(C10:C11)</f>
        <v>23786.75</v>
      </c>
      <c r="D12" s="18"/>
      <c r="E12" s="19">
        <f>SUM(E10:E11)</f>
        <v>416784.41000000003</v>
      </c>
      <c r="F12" s="18"/>
    </row>
    <row r="13" spans="1:6" ht="11" customHeight="1" x14ac:dyDescent="0.15">
      <c r="A13" s="9"/>
      <c r="B13" s="9" t="s">
        <v>144</v>
      </c>
      <c r="C13" s="9"/>
      <c r="D13" s="9"/>
      <c r="E13" s="9"/>
      <c r="F13" s="9"/>
    </row>
    <row r="14" spans="1:6" ht="11" customHeight="1" x14ac:dyDescent="0.15">
      <c r="B14" s="10" t="s">
        <v>145</v>
      </c>
      <c r="C14" s="11">
        <v>308.85000000000002</v>
      </c>
      <c r="D14" s="10"/>
      <c r="E14" s="11">
        <v>0</v>
      </c>
      <c r="F14" s="10"/>
    </row>
    <row r="15" spans="1:6" ht="11" customHeight="1" x14ac:dyDescent="0.15">
      <c r="B15" s="10" t="s">
        <v>146</v>
      </c>
      <c r="C15" s="11">
        <v>64.97</v>
      </c>
      <c r="D15" s="10"/>
      <c r="E15" s="11">
        <v>0</v>
      </c>
      <c r="F15" s="10"/>
    </row>
    <row r="16" spans="1:6" ht="11" customHeight="1" x14ac:dyDescent="0.15">
      <c r="B16" s="18" t="s">
        <v>147</v>
      </c>
      <c r="C16" s="19">
        <f>SUM(C14:C15)</f>
        <v>373.82000000000005</v>
      </c>
      <c r="D16" s="18"/>
      <c r="E16" s="19">
        <f>SUM(E14:E15)</f>
        <v>0</v>
      </c>
      <c r="F16" s="18"/>
    </row>
    <row r="17" spans="1:6" ht="11" customHeight="1" x14ac:dyDescent="0.15">
      <c r="A17" s="9"/>
      <c r="B17" s="9" t="s">
        <v>80</v>
      </c>
      <c r="C17" s="9"/>
      <c r="D17" s="9"/>
      <c r="E17" s="9"/>
      <c r="F17" s="9"/>
    </row>
    <row r="18" spans="1:6" ht="11" customHeight="1" x14ac:dyDescent="0.15">
      <c r="B18" s="10" t="s">
        <v>148</v>
      </c>
      <c r="C18" s="11">
        <v>2708.04</v>
      </c>
      <c r="D18" s="10"/>
      <c r="E18" s="11">
        <v>1657.07</v>
      </c>
      <c r="F18" s="10"/>
    </row>
    <row r="19" spans="1:6" ht="11" customHeight="1" x14ac:dyDescent="0.15">
      <c r="B19" s="10" t="s">
        <v>149</v>
      </c>
      <c r="C19" s="11">
        <v>-1728.69</v>
      </c>
      <c r="D19" s="10"/>
      <c r="E19" s="11">
        <v>-46.03</v>
      </c>
      <c r="F19" s="10"/>
    </row>
    <row r="20" spans="1:6" ht="11" customHeight="1" x14ac:dyDescent="0.15">
      <c r="B20" s="10" t="s">
        <v>150</v>
      </c>
      <c r="C20" s="11">
        <v>214.8</v>
      </c>
      <c r="D20" s="10"/>
      <c r="E20" s="11">
        <v>0</v>
      </c>
      <c r="F20" s="10"/>
    </row>
    <row r="21" spans="1:6" ht="11" customHeight="1" x14ac:dyDescent="0.15">
      <c r="B21" s="18" t="s">
        <v>151</v>
      </c>
      <c r="C21" s="19">
        <f>SUM(C18:C20)</f>
        <v>1194.1499999999999</v>
      </c>
      <c r="D21" s="18"/>
      <c r="E21" s="19">
        <f>SUM(E18:E20)</f>
        <v>1611.04</v>
      </c>
      <c r="F21" s="18"/>
    </row>
    <row r="22" spans="1:6" ht="11" customHeight="1" x14ac:dyDescent="0.15">
      <c r="A22" s="18" t="s">
        <v>152</v>
      </c>
      <c r="C22" s="19">
        <f>(0 + ((C12 + C16) + C21))</f>
        <v>25354.720000000001</v>
      </c>
      <c r="D22" s="18"/>
      <c r="E22" s="19">
        <f>(0 + ((E12 + E16) + E21))</f>
        <v>418395.45</v>
      </c>
      <c r="F22" s="18"/>
    </row>
    <row r="23" spans="1:6" ht="13.25" customHeight="1" x14ac:dyDescent="0.15"/>
    <row r="24" spans="1:6" s="5" customFormat="1" ht="12" customHeight="1" x14ac:dyDescent="0.15">
      <c r="A24" s="6" t="s">
        <v>153</v>
      </c>
      <c r="B24" s="6"/>
      <c r="C24" s="6"/>
      <c r="D24" s="6"/>
      <c r="E24" s="6"/>
      <c r="F24" s="6"/>
    </row>
    <row r="25" spans="1:6" ht="11" customHeight="1" x14ac:dyDescent="0.15">
      <c r="A25" s="9"/>
      <c r="B25" s="9" t="s">
        <v>154</v>
      </c>
      <c r="C25" s="9"/>
      <c r="D25" s="9"/>
      <c r="E25" s="9"/>
      <c r="F25" s="9"/>
    </row>
    <row r="26" spans="1:6" ht="11" customHeight="1" x14ac:dyDescent="0.15">
      <c r="B26" s="10" t="s">
        <v>155</v>
      </c>
      <c r="C26" s="11">
        <v>24.11</v>
      </c>
      <c r="D26" s="10" t="s">
        <v>13</v>
      </c>
      <c r="E26" s="11">
        <v>0</v>
      </c>
      <c r="F26" s="10"/>
    </row>
    <row r="27" spans="1:6" ht="11" customHeight="1" x14ac:dyDescent="0.15">
      <c r="B27" s="10" t="s">
        <v>156</v>
      </c>
      <c r="C27" s="11">
        <v>16.21</v>
      </c>
      <c r="D27" s="10"/>
      <c r="E27" s="11">
        <v>0</v>
      </c>
      <c r="F27" s="10"/>
    </row>
    <row r="28" spans="1:6" ht="11" customHeight="1" x14ac:dyDescent="0.15">
      <c r="B28" s="18" t="s">
        <v>157</v>
      </c>
      <c r="C28" s="19">
        <f>SUM(C26:C27)</f>
        <v>40.32</v>
      </c>
      <c r="D28" s="18"/>
      <c r="E28" s="19">
        <f>SUM(E26:E27)</f>
        <v>0</v>
      </c>
      <c r="F28" s="18"/>
    </row>
    <row r="29" spans="1:6" ht="11" customHeight="1" x14ac:dyDescent="0.15">
      <c r="A29" s="18" t="s">
        <v>158</v>
      </c>
      <c r="C29" s="19">
        <f>(0 + C28)</f>
        <v>40.32</v>
      </c>
      <c r="D29" s="18"/>
      <c r="E29" s="19">
        <f>(0 + E28)</f>
        <v>0</v>
      </c>
      <c r="F29" s="18"/>
    </row>
    <row r="30" spans="1:6" ht="13.25" customHeight="1" x14ac:dyDescent="0.15"/>
    <row r="31" spans="1:6" ht="11" customHeight="1" x14ac:dyDescent="0.15">
      <c r="B31" s="21" t="s">
        <v>159</v>
      </c>
      <c r="C31" s="22">
        <f>(C22 - C29)</f>
        <v>25314.400000000001</v>
      </c>
      <c r="D31" s="21"/>
      <c r="E31" s="22">
        <f>(E22 - E29)</f>
        <v>418395.45</v>
      </c>
      <c r="F31" s="21"/>
    </row>
    <row r="32" spans="1:6" ht="13.25" customHeight="1" x14ac:dyDescent="0.15"/>
    <row r="33" spans="1:6" s="5" customFormat="1" ht="12" customHeight="1" x14ac:dyDescent="0.15">
      <c r="A33" s="6" t="s">
        <v>160</v>
      </c>
      <c r="B33" s="6"/>
      <c r="C33" s="6"/>
      <c r="D33" s="6"/>
      <c r="E33" s="6"/>
      <c r="F33" s="6"/>
    </row>
    <row r="34" spans="1:6" ht="11" customHeight="1" x14ac:dyDescent="0.15">
      <c r="B34" s="15" t="s">
        <v>161</v>
      </c>
      <c r="C34" s="16">
        <v>418395.45</v>
      </c>
      <c r="D34" s="15"/>
      <c r="E34" s="16">
        <v>278621.46000000002</v>
      </c>
      <c r="F34" s="15"/>
    </row>
    <row r="35" spans="1:6" ht="11" customHeight="1" x14ac:dyDescent="0.15">
      <c r="B35" s="10" t="s">
        <v>162</v>
      </c>
      <c r="C35" s="11">
        <v>-393081.05</v>
      </c>
      <c r="D35" s="10"/>
      <c r="E35" s="11">
        <v>139773.99</v>
      </c>
      <c r="F35" s="10"/>
    </row>
    <row r="36" spans="1:6" ht="11" customHeight="1" x14ac:dyDescent="0.15">
      <c r="A36" s="18" t="s">
        <v>163</v>
      </c>
      <c r="C36" s="19">
        <f>SUM(C34:C35)</f>
        <v>25314.400000000023</v>
      </c>
      <c r="D36" s="18"/>
      <c r="E36" s="19">
        <f>SUM(E34:E35)</f>
        <v>418395.45</v>
      </c>
      <c r="F36" s="18"/>
    </row>
    <row r="37" spans="1:6" ht="13.25" customHeight="1" x14ac:dyDescent="0.15"/>
    <row r="38" spans="1:6" ht="13.25" customHeight="1" x14ac:dyDescent="0.15"/>
    <row r="39" spans="1:6" ht="11" customHeight="1" x14ac:dyDescent="0.15">
      <c r="A39" s="13" t="s">
        <v>38</v>
      </c>
    </row>
    <row r="40" spans="1:6" ht="11" customHeight="1" x14ac:dyDescent="0.15">
      <c r="A40" s="14" t="s">
        <v>39</v>
      </c>
    </row>
    <row r="41" spans="1:6" ht="11" customHeight="1" x14ac:dyDescent="0.15">
      <c r="A41" s="13" t="s">
        <v>40</v>
      </c>
    </row>
    <row r="42" spans="1:6" ht="11" customHeight="1" x14ac:dyDescent="0.15">
      <c r="A42" s="13" t="s">
        <v>41</v>
      </c>
    </row>
    <row r="43" spans="1:6" ht="11" customHeight="1" x14ac:dyDescent="0.15">
      <c r="A43" s="13" t="s">
        <v>42</v>
      </c>
    </row>
    <row r="44" spans="1:6" ht="11" customHeight="1" x14ac:dyDescent="0.15">
      <c r="A44" s="14" t="s">
        <v>43</v>
      </c>
    </row>
    <row r="45" spans="1:6" ht="11" customHeight="1" x14ac:dyDescent="0.15">
      <c r="A45" s="13" t="s">
        <v>44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showGridLines="0" zoomScaleNormal="100" workbookViewId="0"/>
  </sheetViews>
  <sheetFormatPr baseColWidth="10" defaultColWidth="9" defaultRowHeight="12" x14ac:dyDescent="0.15"/>
  <cols>
    <col min="1" max="1" width="42.3984375" customWidth="1"/>
  </cols>
  <sheetData>
    <row r="1" spans="1:1" s="1" customFormat="1" ht="16.75" customHeight="1" x14ac:dyDescent="0.2">
      <c r="A1" s="2" t="s">
        <v>164</v>
      </c>
    </row>
    <row r="2" spans="1:1" s="3" customFormat="1" ht="14.5" customHeight="1" x14ac:dyDescent="0.2">
      <c r="A2" s="4" t="s">
        <v>1</v>
      </c>
    </row>
    <row r="3" spans="1:1" s="3" customFormat="1" ht="14.5" customHeight="1" x14ac:dyDescent="0.2">
      <c r="A3" s="4" t="s">
        <v>138</v>
      </c>
    </row>
    <row r="4" spans="1:1" s="3" customFormat="1" ht="14.5" customHeight="1" x14ac:dyDescent="0.2">
      <c r="A4" s="4" t="s">
        <v>165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"/>
  <sheetViews>
    <sheetView showGridLines="0" zoomScaleNormal="100" workbookViewId="0"/>
  </sheetViews>
  <sheetFormatPr baseColWidth="10" defaultColWidth="9" defaultRowHeight="12" x14ac:dyDescent="0.15"/>
  <cols>
    <col min="1" max="1" width="20.3984375" customWidth="1"/>
    <col min="2" max="2" width="12.19921875" customWidth="1"/>
    <col min="3" max="3" width="5.3984375" customWidth="1"/>
    <col min="4" max="4" width="10.3984375" customWidth="1"/>
    <col min="5" max="6" width="11.19921875" customWidth="1"/>
    <col min="7" max="7" width="7.3984375" customWidth="1"/>
    <col min="8" max="8" width="6.796875" customWidth="1"/>
  </cols>
  <sheetData>
    <row r="1" spans="1:8" s="1" customFormat="1" ht="16.75" customHeight="1" x14ac:dyDescent="0.2">
      <c r="A1" s="2" t="s">
        <v>166</v>
      </c>
      <c r="B1" s="2"/>
      <c r="C1" s="2"/>
      <c r="D1" s="2"/>
      <c r="E1" s="2"/>
      <c r="F1" s="2"/>
      <c r="G1" s="2"/>
      <c r="H1" s="2"/>
    </row>
    <row r="2" spans="1:8" s="3" customFormat="1" ht="14.5" customHeight="1" x14ac:dyDescent="0.2">
      <c r="A2" s="4" t="s">
        <v>1</v>
      </c>
      <c r="B2" s="4"/>
      <c r="C2" s="4"/>
      <c r="D2" s="4"/>
      <c r="E2" s="4"/>
      <c r="F2" s="4"/>
      <c r="G2" s="4"/>
      <c r="H2" s="4"/>
    </row>
    <row r="3" spans="1:8" s="3" customFormat="1" ht="14.5" customHeight="1" x14ac:dyDescent="0.2">
      <c r="A3" s="4" t="s">
        <v>138</v>
      </c>
      <c r="B3" s="4"/>
      <c r="C3" s="4"/>
      <c r="D3" s="4"/>
      <c r="E3" s="4"/>
      <c r="F3" s="4"/>
      <c r="G3" s="4"/>
      <c r="H3" s="4"/>
    </row>
    <row r="4" spans="1:8" s="3" customFormat="1" ht="14.5" customHeight="1" x14ac:dyDescent="0.2">
      <c r="A4" s="4" t="s">
        <v>165</v>
      </c>
      <c r="B4" s="4"/>
      <c r="C4" s="4"/>
      <c r="D4" s="4"/>
      <c r="E4" s="4"/>
      <c r="F4" s="4"/>
      <c r="G4" s="4"/>
      <c r="H4" s="4"/>
    </row>
    <row r="5" spans="1:8" ht="13.25" customHeight="1" x14ac:dyDescent="0.15"/>
    <row r="6" spans="1:8" s="5" customFormat="1" ht="12" customHeight="1" x14ac:dyDescent="0.15">
      <c r="A6" s="7" t="s">
        <v>167</v>
      </c>
      <c r="B6" s="8" t="s">
        <v>168</v>
      </c>
      <c r="C6" s="8"/>
      <c r="D6" s="8" t="s">
        <v>169</v>
      </c>
      <c r="E6" s="8" t="s">
        <v>170</v>
      </c>
      <c r="F6" s="8" t="s">
        <v>171</v>
      </c>
      <c r="G6" s="8" t="s">
        <v>172</v>
      </c>
      <c r="H6" s="8" t="s">
        <v>173</v>
      </c>
    </row>
    <row r="7" spans="1:8" ht="13.25" customHeight="1" x14ac:dyDescent="0.15"/>
    <row r="8" spans="1:8" s="5" customFormat="1" ht="12" customHeight="1" x14ac:dyDescent="0.15">
      <c r="A8" s="6" t="s">
        <v>174</v>
      </c>
      <c r="B8" s="6"/>
      <c r="C8" s="6"/>
      <c r="D8" s="6"/>
      <c r="E8" s="6"/>
      <c r="F8" s="6"/>
      <c r="G8" s="6"/>
      <c r="H8" s="6"/>
    </row>
    <row r="9" spans="1:8" ht="11" customHeight="1" x14ac:dyDescent="0.15">
      <c r="A9" s="15" t="s">
        <v>175</v>
      </c>
      <c r="B9" s="16">
        <v>24.11</v>
      </c>
      <c r="C9" s="15" t="s">
        <v>13</v>
      </c>
      <c r="D9" s="16">
        <v>0</v>
      </c>
      <c r="E9" s="16">
        <v>0</v>
      </c>
      <c r="F9" s="16">
        <v>0</v>
      </c>
      <c r="G9" s="16">
        <v>0</v>
      </c>
      <c r="H9" s="16">
        <v>24.11</v>
      </c>
    </row>
    <row r="10" spans="1:8" ht="11" customHeight="1" x14ac:dyDescent="0.15">
      <c r="A10" s="18" t="s">
        <v>176</v>
      </c>
      <c r="B10" s="19">
        <f>B9</f>
        <v>24.11</v>
      </c>
      <c r="C10" s="18"/>
      <c r="D10" s="19">
        <f>D9</f>
        <v>0</v>
      </c>
      <c r="E10" s="19">
        <f>E9</f>
        <v>0</v>
      </c>
      <c r="F10" s="19">
        <f>F9</f>
        <v>0</v>
      </c>
      <c r="G10" s="19">
        <f>G9</f>
        <v>0</v>
      </c>
      <c r="H10" s="19">
        <f>H9</f>
        <v>24.11</v>
      </c>
    </row>
    <row r="11" spans="1:8" ht="13.25" customHeight="1" x14ac:dyDescent="0.15"/>
    <row r="12" spans="1:8" ht="11" customHeight="1" x14ac:dyDescent="0.15">
      <c r="A12" s="21" t="s">
        <v>173</v>
      </c>
      <c r="B12" s="22">
        <f>B10</f>
        <v>24.11</v>
      </c>
      <c r="C12" s="21"/>
      <c r="D12" s="22">
        <f>D10</f>
        <v>0</v>
      </c>
      <c r="E12" s="22">
        <f>E10</f>
        <v>0</v>
      </c>
      <c r="F12" s="22">
        <f>F10</f>
        <v>0</v>
      </c>
      <c r="G12" s="22">
        <f>G10</f>
        <v>0</v>
      </c>
      <c r="H12" s="22">
        <f>H10</f>
        <v>24.11</v>
      </c>
    </row>
    <row r="13" spans="1:8" ht="13.25" customHeight="1" x14ac:dyDescent="0.15"/>
    <row r="14" spans="1:8" ht="11" customHeight="1" x14ac:dyDescent="0.15">
      <c r="A14" s="21" t="s">
        <v>177</v>
      </c>
      <c r="B14" s="23">
        <f>(B10 / SUM(B10,D10:G10))</f>
        <v>1</v>
      </c>
      <c r="C14" s="21"/>
      <c r="D14" s="23">
        <f>(D10 / SUM(B10,D10:G10))</f>
        <v>0</v>
      </c>
      <c r="E14" s="23">
        <f>(E10 / SUM(B10,D10:G10))</f>
        <v>0</v>
      </c>
      <c r="F14" s="23">
        <f>(F10 / SUM(B10,D10:G10))</f>
        <v>0</v>
      </c>
      <c r="G14" s="23">
        <f>(G10 / SUM(B10,D10:G10))</f>
        <v>0</v>
      </c>
      <c r="H14" s="23">
        <f>(H10 / H10)</f>
        <v>1</v>
      </c>
    </row>
    <row r="15" spans="1:8" ht="13.25" customHeight="1" x14ac:dyDescent="0.15"/>
    <row r="16" spans="1:8" ht="13.25" customHeight="1" x14ac:dyDescent="0.15"/>
    <row r="17" spans="1:1" ht="11" customHeight="1" x14ac:dyDescent="0.15">
      <c r="A17" s="13" t="s">
        <v>38</v>
      </c>
    </row>
    <row r="18" spans="1:1" ht="11" customHeight="1" x14ac:dyDescent="0.15">
      <c r="A18" s="14" t="s">
        <v>39</v>
      </c>
    </row>
    <row r="19" spans="1:1" ht="11" customHeight="1" x14ac:dyDescent="0.15">
      <c r="A19" s="13" t="s">
        <v>42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3978FD413154468326E670F04C8B06" ma:contentTypeVersion="15" ma:contentTypeDescription="Create a new document." ma:contentTypeScope="" ma:versionID="d5e460359aee45aa38ce2cd77256452e">
  <xsd:schema xmlns:xsd="http://www.w3.org/2001/XMLSchema" xmlns:xs="http://www.w3.org/2001/XMLSchema" xmlns:p="http://schemas.microsoft.com/office/2006/metadata/properties" xmlns:ns2="d6eed3e6-46d3-4982-9a52-77b9f88a950f" xmlns:ns3="1992903e-44a0-434f-abaa-25872a393aed" targetNamespace="http://schemas.microsoft.com/office/2006/metadata/properties" ma:root="true" ma:fieldsID="e4222fcf9dbb7455473047f1dcf9c5d1" ns2:_="" ns3:_="">
    <xsd:import namespace="d6eed3e6-46d3-4982-9a52-77b9f88a950f"/>
    <xsd:import namespace="1992903e-44a0-434f-abaa-25872a393ae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ed3e6-46d3-4982-9a52-77b9f88a950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2a7b472-6be5-406d-bbd5-0a2d8832cdc6}" ma:internalName="TaxCatchAll" ma:showField="CatchAllData" ma:web="d6eed3e6-46d3-4982-9a52-77b9f88a95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2903e-44a0-434f-abaa-25872a393a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9ed0b52-a196-47b6-8260-1695e52813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92903e-44a0-434f-abaa-25872a393aed">
      <Terms xmlns="http://schemas.microsoft.com/office/infopath/2007/PartnerControls"/>
    </lcf76f155ced4ddcb4097134ff3c332f>
    <TaxCatchAll xmlns="d6eed3e6-46d3-4982-9a52-77b9f88a950f" xsi:nil="true"/>
  </documentManagement>
</p:properties>
</file>

<file path=customXml/itemProps1.xml><?xml version="1.0" encoding="utf-8"?>
<ds:datastoreItem xmlns:ds="http://schemas.openxmlformats.org/officeDocument/2006/customXml" ds:itemID="{E3F83FF4-0EF1-4921-BE15-C97FE23D43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eed3e6-46d3-4982-9a52-77b9f88a950f"/>
    <ds:schemaRef ds:uri="1992903e-44a0-434f-abaa-25872a393a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162EF5-49DE-449C-8E8A-099B5EC87C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94CEF4-58A3-4D43-BBCD-DE2C3105C9C6}">
  <ds:schemaRefs>
    <ds:schemaRef ds:uri="http://purl.org/dc/terms/"/>
    <ds:schemaRef ds:uri="http://purl.org/dc/dcmitype/"/>
    <ds:schemaRef ds:uri="1992903e-44a0-434f-abaa-25872a393aed"/>
    <ds:schemaRef ds:uri="d6eed3e6-46d3-4982-9a52-77b9f88a950f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Cash Summary</vt:lpstr>
      <vt:lpstr>Profit and Loss</vt:lpstr>
      <vt:lpstr>Balance Sheet</vt:lpstr>
      <vt:lpstr>Aged Receivables Summary</vt:lpstr>
      <vt:lpstr>Aged Payables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Eva  Buzo</cp:lastModifiedBy>
  <dcterms:modified xsi:type="dcterms:W3CDTF">2026-02-05T12:25:17Z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0x0101005A3978FD413154468326E670F04C8B06</vt:lpwstr>
  </property>
  <property fmtid="{D5CDD505-2E9C-101B-9397-08002B2CF9AE}" pid="3" name="MediaServiceImageTags">
    <vt:lpwstr/>
  </property>
</Properties>
</file>