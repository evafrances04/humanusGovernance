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&amp;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Funds" sheetId="4" state="visible" r:id="rId4"/>
    <sheet xmlns:r="http://schemas.openxmlformats.org/officeDocument/2006/relationships" name="Budget v actual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Cash forecast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Grant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0;(#,##0.00)"/>
  </numFmts>
  <fonts count="8">
    <font>
      <name val="Calibri"/>
      <family val="2"/>
      <color theme="1"/>
      <sz val="11"/>
      <scheme val="minor"/>
    </font>
    <font>
      <name val="Fagun"/>
      <b val="1"/>
      <color rgb="00410F37"/>
      <sz val="18"/>
    </font>
    <font>
      <name val="Fagun"/>
      <b val="1"/>
      <color rgb="00410F37"/>
    </font>
    <font>
      <name val="Fagun"/>
      <color rgb="00410F37"/>
    </font>
    <font>
      <name val="Fagun"/>
      <b val="1"/>
      <color rgb="00410F37"/>
      <sz val="14"/>
    </font>
    <font>
      <name val="Fagun"/>
      <i val="1"/>
      <color rgb="00410F37"/>
      <sz val="9"/>
    </font>
    <font>
      <name val="Fagun"/>
      <b val="1"/>
      <color rgb="0096FF14"/>
    </font>
    <font>
      <name val="Fagun"/>
      <i val="1"/>
      <color rgb="00410F37"/>
    </font>
  </fonts>
  <fills count="6">
    <fill>
      <patternFill/>
    </fill>
    <fill>
      <patternFill patternType="gray125"/>
    </fill>
    <fill>
      <patternFill patternType="solid">
        <fgColor rgb="00410F37"/>
      </patternFill>
    </fill>
    <fill>
      <patternFill patternType="solid">
        <fgColor rgb="00EFE8EE"/>
      </patternFill>
    </fill>
    <fill>
      <patternFill patternType="solid">
        <fgColor rgb="00FFF6CC"/>
      </patternFill>
    </fill>
    <fill>
      <patternFill patternType="solid">
        <fgColor rgb="0096FF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164" fontId="3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3" fillId="0" borderId="0" pivotButton="0" quotePrefix="0" xfId="0"/>
    <xf numFmtId="166" fontId="2" fillId="3" borderId="0" pivotButton="0" quotePrefix="0" xfId="0"/>
    <xf numFmtId="4" fontId="3" fillId="0" borderId="0" pivotButton="0" quotePrefix="0" xfId="0"/>
    <xf numFmtId="4" fontId="2" fillId="3" borderId="0" pivotButton="0" quotePrefix="0" xfId="0"/>
    <xf numFmtId="165" fontId="2" fillId="3" borderId="0" pivotButton="0" quotePrefix="0" xfId="0"/>
    <xf numFmtId="164" fontId="3" fillId="4" borderId="0" pivotButton="0" quotePrefix="0" xfId="0"/>
    <xf numFmtId="3" fontId="0" fillId="4" borderId="0" pivotButton="0" quotePrefix="0" xfId="0"/>
    <xf numFmtId="0" fontId="7" fillId="0" borderId="0" pivotButton="0" quotePrefix="0" xfId="0"/>
    <xf numFmtId="164" fontId="2" fillId="0" borderId="0" pivotButton="0" quotePrefix="0" xfId="0"/>
    <xf numFmtId="0" fontId="2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dxfs count="1">
    <dxf>
      <font>
        <name val="Fagun"/>
        <b val="1"/>
        <color rgb="00E12D6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Month-end cash (selected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'Cash forecast'!A24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forecast'!$B$4:$J$4</f>
            </numRef>
          </cat>
          <val>
            <numRef>
              <f>'Cash forecast'!$B$24:$J$24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329975" cy="17021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26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60" customHeight="1"/>
    <row r="6">
      <c r="A6" s="1" t="inlineStr">
        <is>
          <t>Board finance workbook — Q3 2026</t>
        </is>
      </c>
    </row>
    <row r="8">
      <c r="A8" s="2" t="inlineStr">
        <is>
          <t>Board meeting</t>
        </is>
      </c>
      <c r="B8" s="3" t="inlineStr">
        <is>
          <t>29 October 2026</t>
        </is>
      </c>
    </row>
    <row r="9">
      <c r="A9" s="2" t="inlineStr">
        <is>
          <t>Period</t>
        </is>
      </c>
      <c r="B9" s="3" t="inlineStr">
        <is>
          <t>to 30 September 2026; forecast Oct 2026 – Jun 2027</t>
        </is>
      </c>
    </row>
    <row r="10">
      <c r="A10" s="2" t="inlineStr">
        <is>
          <t>Source</t>
        </is>
      </c>
      <c r="B10" s="3" t="inlineStr">
        <is>
          <t>Xero, pulled live 12 Oct 2026 (report IDs on Sources tab)</t>
        </is>
      </c>
    </row>
    <row r="11">
      <c r="A11" s="2" t="inlineStr">
        <is>
          <t>Currency</t>
        </is>
      </c>
      <c r="B11" s="3" t="inlineStr">
        <is>
          <t>USD</t>
        </is>
      </c>
    </row>
    <row r="12">
      <c r="A12" s="2" t="inlineStr">
        <is>
          <t>Footer</t>
        </is>
      </c>
      <c r="B12" s="3" t="inlineStr">
        <is>
          <t>Stichting hūmānus international · KvK 77641981 · [TBD: registered-charity footer boilerplate] · Confidential — board use only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Income &amp; expenditure (USD, accrual)</t>
        </is>
      </c>
    </row>
    <row r="2">
      <c r="A2" s="5" t="inlineStr">
        <is>
          <t>Quarter columns = three-month totals; YTD = 1 Jan – 30 Sep 2026</t>
        </is>
      </c>
    </row>
    <row r="4">
      <c r="A4" s="6" t="inlineStr">
        <is>
          <t>Account</t>
        </is>
      </c>
      <c r="B4" s="6" t="inlineStr">
        <is>
          <t>Group</t>
        </is>
      </c>
      <c r="C4" s="6" t="inlineStr">
        <is>
          <t>Q3 2026</t>
        </is>
      </c>
      <c r="D4" s="6" t="inlineStr">
        <is>
          <t>Q2 2026</t>
        </is>
      </c>
      <c r="E4" s="6" t="inlineStr">
        <is>
          <t>YTD 2026</t>
        </is>
      </c>
    </row>
    <row r="5">
      <c r="A5" s="3" t="inlineStr">
        <is>
          <t>Grant income</t>
        </is>
      </c>
      <c r="B5" s="3" t="inlineStr">
        <is>
          <t>Income</t>
        </is>
      </c>
      <c r="C5" s="7" t="n">
        <v>0</v>
      </c>
      <c r="D5" s="7" t="n">
        <v>114081.47</v>
      </c>
      <c r="E5" s="7" t="n">
        <v>414081.47</v>
      </c>
    </row>
    <row r="6">
      <c r="A6" s="3" t="inlineStr">
        <is>
          <t>Interest income</t>
        </is>
      </c>
      <c r="B6" s="3" t="inlineStr">
        <is>
          <t>Income</t>
        </is>
      </c>
      <c r="C6" s="7" t="n">
        <v>431.74</v>
      </c>
      <c r="D6" s="7" t="n">
        <v>695.3099999999999</v>
      </c>
      <c r="E6" s="7" t="n">
        <v>1599.15</v>
      </c>
    </row>
    <row r="7">
      <c r="A7" s="8" t="inlineStr">
        <is>
          <t>Total income</t>
        </is>
      </c>
      <c r="B7" s="8" t="inlineStr"/>
      <c r="C7" s="9">
        <f>SUM(C5:C6)</f>
        <v/>
      </c>
      <c r="D7" s="9">
        <f>SUM(D5:D6)</f>
        <v/>
      </c>
      <c r="E7" s="9">
        <f>SUM(E5:E6)</f>
        <v/>
      </c>
    </row>
    <row r="8">
      <c r="A8" s="3" t="inlineStr">
        <is>
          <t>Executive Director</t>
        </is>
      </c>
      <c r="B8" s="3" t="inlineStr">
        <is>
          <t>Staff &amp; consultants</t>
        </is>
      </c>
      <c r="C8" s="10" t="n">
        <v>42600</v>
      </c>
      <c r="D8" s="10" t="n">
        <v>42600</v>
      </c>
      <c r="E8" s="10" t="n">
        <v>127800</v>
      </c>
    </row>
    <row r="9">
      <c r="A9" s="3" t="inlineStr">
        <is>
          <t>Communication Advisor</t>
        </is>
      </c>
      <c r="B9" s="3" t="inlineStr">
        <is>
          <t>Staff &amp; consultants</t>
        </is>
      </c>
      <c r="C9" s="10" t="n">
        <v>16149.82</v>
      </c>
      <c r="D9" s="10" t="n">
        <v>16085.64</v>
      </c>
      <c r="E9" s="10" t="n">
        <v>48461.94</v>
      </c>
    </row>
    <row r="10">
      <c r="A10" s="3" t="inlineStr">
        <is>
          <t>Advocate / Programme Manager</t>
        </is>
      </c>
      <c r="B10" s="3" t="inlineStr">
        <is>
          <t>Staff &amp; consultants</t>
        </is>
      </c>
      <c r="C10" s="10" t="n">
        <v>10500</v>
      </c>
      <c r="D10" s="10" t="n">
        <v>10500</v>
      </c>
      <c r="E10" s="10" t="n">
        <v>34000</v>
      </c>
    </row>
    <row r="11">
      <c r="A11" s="3" t="inlineStr">
        <is>
          <t>Rohingya Manager</t>
        </is>
      </c>
      <c r="B11" s="3" t="inlineStr">
        <is>
          <t>Staff &amp; consultants</t>
        </is>
      </c>
      <c r="C11" s="10" t="n">
        <v>7500</v>
      </c>
      <c r="D11" s="10" t="n">
        <v>7500</v>
      </c>
      <c r="E11" s="10" t="n">
        <v>22500</v>
      </c>
    </row>
    <row r="12">
      <c r="A12" s="3" t="inlineStr">
        <is>
          <t>Cost of Living Allowances</t>
        </is>
      </c>
      <c r="B12" s="3" t="inlineStr">
        <is>
          <t>Staff &amp; consultants</t>
        </is>
      </c>
      <c r="C12" s="10" t="n">
        <v>5630.35</v>
      </c>
      <c r="D12" s="10" t="n">
        <v>5625.05</v>
      </c>
      <c r="E12" s="10" t="n">
        <v>16931.01</v>
      </c>
    </row>
    <row r="13">
      <c r="A13" s="3" t="inlineStr">
        <is>
          <t>Accounting &amp; Bookkeeping Fees</t>
        </is>
      </c>
      <c r="B13" s="3" t="inlineStr">
        <is>
          <t>Staff &amp; consultants</t>
        </is>
      </c>
      <c r="C13" s="10" t="n">
        <v>6000</v>
      </c>
      <c r="D13" s="10" t="n">
        <v>6000</v>
      </c>
      <c r="E13" s="10" t="n">
        <v>18000</v>
      </c>
    </row>
    <row r="14">
      <c r="A14" s="3" t="inlineStr">
        <is>
          <t>Communication Support</t>
        </is>
      </c>
      <c r="B14" s="3" t="inlineStr">
        <is>
          <t>Staff &amp; consultants</t>
        </is>
      </c>
      <c r="C14" s="10" t="n">
        <v>1948.22</v>
      </c>
      <c r="D14" s="10" t="n">
        <v>5556.31</v>
      </c>
      <c r="E14" s="10" t="n">
        <v>11866.75</v>
      </c>
    </row>
    <row r="15">
      <c r="A15" s="3" t="inlineStr">
        <is>
          <t>Operations Support</t>
        </is>
      </c>
      <c r="B15" s="3" t="inlineStr">
        <is>
          <t>Staff &amp; consultants</t>
        </is>
      </c>
      <c r="C15" s="10" t="n">
        <v>1390.72</v>
      </c>
      <c r="D15" s="10" t="n">
        <v>638.14</v>
      </c>
      <c r="E15" s="10" t="n">
        <v>6266.9</v>
      </c>
    </row>
    <row r="16">
      <c r="A16" s="3" t="inlineStr">
        <is>
          <t>Project Consultants</t>
        </is>
      </c>
      <c r="B16" s="3" t="inlineStr">
        <is>
          <t>Staff &amp; consultants</t>
        </is>
      </c>
      <c r="C16" s="10" t="n">
        <v>2293.57</v>
      </c>
      <c r="D16" s="10" t="n">
        <v>0</v>
      </c>
      <c r="E16" s="10" t="n">
        <v>2293.57</v>
      </c>
    </row>
    <row r="17">
      <c r="A17" s="3" t="inlineStr">
        <is>
          <t>Volunteer Stipends</t>
        </is>
      </c>
      <c r="B17" s="3" t="inlineStr">
        <is>
          <t>Programme &amp; travel</t>
        </is>
      </c>
      <c r="C17" s="10" t="n">
        <v>178.45</v>
      </c>
      <c r="D17" s="10" t="n">
        <v>10268.63</v>
      </c>
      <c r="E17" s="10" t="n">
        <v>12334</v>
      </c>
    </row>
    <row r="18">
      <c r="A18" s="3" t="inlineStr">
        <is>
          <t>Partner Grants</t>
        </is>
      </c>
      <c r="B18" s="3" t="inlineStr">
        <is>
          <t>Programme &amp; travel</t>
        </is>
      </c>
      <c r="C18" s="10" t="n">
        <v>4000</v>
      </c>
      <c r="D18" s="10" t="n">
        <v>8000</v>
      </c>
      <c r="E18" s="10" t="n">
        <v>14000</v>
      </c>
    </row>
    <row r="19">
      <c r="A19" s="3" t="inlineStr">
        <is>
          <t>Confidence Building Measures</t>
        </is>
      </c>
      <c r="B19" s="3" t="inlineStr">
        <is>
          <t>Programme &amp; travel</t>
        </is>
      </c>
      <c r="C19" s="10" t="n">
        <v>0</v>
      </c>
      <c r="D19" s="10" t="n">
        <v>0</v>
      </c>
      <c r="E19" s="10" t="n">
        <v>14598</v>
      </c>
    </row>
    <row r="20">
      <c r="A20" s="3" t="inlineStr">
        <is>
          <t>International Flights</t>
        </is>
      </c>
      <c r="B20" s="3" t="inlineStr">
        <is>
          <t>Programme &amp; travel</t>
        </is>
      </c>
      <c r="C20" s="10" t="n">
        <v>4997.8</v>
      </c>
      <c r="D20" s="10" t="n">
        <v>20519.49</v>
      </c>
      <c r="E20" s="10" t="n">
        <v>25517.29</v>
      </c>
    </row>
    <row r="21">
      <c r="A21" s="3" t="inlineStr">
        <is>
          <t>Accommodation</t>
        </is>
      </c>
      <c r="B21" s="3" t="inlineStr">
        <is>
          <t>Programme &amp; travel</t>
        </is>
      </c>
      <c r="C21" s="10" t="n">
        <v>8893.66</v>
      </c>
      <c r="D21" s="10" t="n">
        <v>639.28</v>
      </c>
      <c r="E21" s="10" t="n">
        <v>11247.69</v>
      </c>
    </row>
    <row r="22">
      <c r="A22" s="3" t="inlineStr">
        <is>
          <t>Domestic Flights</t>
        </is>
      </c>
      <c r="B22" s="3" t="inlineStr">
        <is>
          <t>Programme &amp; travel</t>
        </is>
      </c>
      <c r="C22" s="10" t="n">
        <v>849.99</v>
      </c>
      <c r="D22" s="10" t="n">
        <v>274.42</v>
      </c>
      <c r="E22" s="10" t="n">
        <v>1124.41</v>
      </c>
    </row>
    <row r="23">
      <c r="A23" s="3" t="inlineStr">
        <is>
          <t>Per diem</t>
        </is>
      </c>
      <c r="B23" s="3" t="inlineStr">
        <is>
          <t>Programme &amp; travel</t>
        </is>
      </c>
      <c r="C23" s="10" t="n">
        <v>500.21</v>
      </c>
      <c r="D23" s="10" t="n">
        <v>606.53</v>
      </c>
      <c r="E23" s="10" t="n">
        <v>1288.78</v>
      </c>
    </row>
    <row r="24">
      <c r="A24" s="3" t="inlineStr">
        <is>
          <t>Local Transportation</t>
        </is>
      </c>
      <c r="B24" s="3" t="inlineStr">
        <is>
          <t>Programme &amp; travel</t>
        </is>
      </c>
      <c r="C24" s="10" t="n">
        <v>188.38</v>
      </c>
      <c r="D24" s="10" t="n">
        <v>1026.82</v>
      </c>
      <c r="E24" s="10" t="n">
        <v>2286.22</v>
      </c>
    </row>
    <row r="25">
      <c r="A25" s="3" t="inlineStr">
        <is>
          <t>Meeting Expenses</t>
        </is>
      </c>
      <c r="B25" s="3" t="inlineStr">
        <is>
          <t>Programme &amp; travel</t>
        </is>
      </c>
      <c r="C25" s="10" t="n">
        <v>5701.24</v>
      </c>
      <c r="D25" s="10" t="n">
        <v>1616.62</v>
      </c>
      <c r="E25" s="10" t="n">
        <v>8930.139999999999</v>
      </c>
    </row>
    <row r="26">
      <c r="A26" s="3" t="inlineStr">
        <is>
          <t>Board Meetings</t>
        </is>
      </c>
      <c r="B26" s="3" t="inlineStr">
        <is>
          <t>Governance &amp; operations</t>
        </is>
      </c>
      <c r="C26" s="10" t="n">
        <v>0</v>
      </c>
      <c r="D26" s="10" t="n">
        <v>8936.41</v>
      </c>
      <c r="E26" s="10" t="n">
        <v>8936.41</v>
      </c>
    </row>
    <row r="27">
      <c r="A27" s="3" t="inlineStr">
        <is>
          <t>Audit Fees</t>
        </is>
      </c>
      <c r="B27" s="3" t="inlineStr">
        <is>
          <t>Governance &amp; operations</t>
        </is>
      </c>
      <c r="C27" s="10" t="n">
        <v>0</v>
      </c>
      <c r="D27" s="10" t="n">
        <v>1981.06</v>
      </c>
      <c r="E27" s="10" t="n">
        <v>2822.06</v>
      </c>
    </row>
    <row r="28">
      <c r="A28" s="3" t="inlineStr">
        <is>
          <t>Legal Fees</t>
        </is>
      </c>
      <c r="B28" s="3" t="inlineStr">
        <is>
          <t>Governance &amp; operations</t>
        </is>
      </c>
      <c r="C28" s="10" t="n">
        <v>2914.57</v>
      </c>
      <c r="D28" s="10" t="n">
        <v>818.27</v>
      </c>
      <c r="E28" s="10" t="n">
        <v>4363.31</v>
      </c>
    </row>
    <row r="29">
      <c r="A29" s="3" t="inlineStr">
        <is>
          <t>IT &amp; Software Expenses</t>
        </is>
      </c>
      <c r="B29" s="3" t="inlineStr">
        <is>
          <t>Governance &amp; operations</t>
        </is>
      </c>
      <c r="C29" s="10" t="n">
        <v>1058.11</v>
      </c>
      <c r="D29" s="10" t="n">
        <v>2636</v>
      </c>
      <c r="E29" s="10" t="n">
        <v>5469.26</v>
      </c>
    </row>
    <row r="30">
      <c r="A30" s="3" t="inlineStr">
        <is>
          <t>Bank Charges &amp; Merchant Fees</t>
        </is>
      </c>
      <c r="B30" s="3" t="inlineStr">
        <is>
          <t>Governance &amp; operations</t>
        </is>
      </c>
      <c r="C30" s="10" t="n">
        <v>167.22</v>
      </c>
      <c r="D30" s="10" t="n">
        <v>214.31</v>
      </c>
      <c r="E30" s="10" t="n">
        <v>510.63</v>
      </c>
    </row>
    <row r="31">
      <c r="A31" s="3" t="inlineStr">
        <is>
          <t>Depreciation</t>
        </is>
      </c>
      <c r="B31" s="3" t="inlineStr">
        <is>
          <t>Governance &amp; operations</t>
        </is>
      </c>
      <c r="C31" s="10" t="n">
        <v>0</v>
      </c>
      <c r="D31" s="10" t="n">
        <v>0</v>
      </c>
      <c r="E31" s="10" t="n">
        <v>113.84</v>
      </c>
    </row>
    <row r="32">
      <c r="A32" s="3" t="inlineStr">
        <is>
          <t>Foreign Currency Gains and Losses</t>
        </is>
      </c>
      <c r="B32" s="3" t="inlineStr">
        <is>
          <t>FX revaluation</t>
        </is>
      </c>
      <c r="C32" s="10" t="n">
        <v>79.65000000000001</v>
      </c>
      <c r="D32" s="10" t="n">
        <v>-221.56</v>
      </c>
      <c r="E32" s="10" t="n">
        <v>235.02</v>
      </c>
    </row>
    <row r="33">
      <c r="A33" s="8" t="inlineStr">
        <is>
          <t>Total expenditure</t>
        </is>
      </c>
      <c r="B33" s="8" t="inlineStr"/>
      <c r="C33" s="11">
        <f>SUM(C8:C32)</f>
        <v/>
      </c>
      <c r="D33" s="11">
        <f>SUM(D8:D32)</f>
        <v/>
      </c>
      <c r="E33" s="11">
        <f>SUM(E8:E32)</f>
        <v/>
      </c>
    </row>
    <row r="34">
      <c r="A34" s="8" t="inlineStr">
        <is>
          <t>Net surplus / (deficit)</t>
        </is>
      </c>
      <c r="B34" s="8" t="inlineStr"/>
      <c r="C34" s="11">
        <f>C7-C33</f>
        <v/>
      </c>
      <c r="D34" s="11">
        <f>D7-D33</f>
        <v/>
      </c>
      <c r="E34" s="11">
        <f>E7-E33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Balance sheet (USD)</t>
        </is>
      </c>
    </row>
    <row r="2">
      <c r="A2" s="5" t="inlineStr">
        <is>
          <t>Liabilities negative</t>
        </is>
      </c>
    </row>
    <row r="4">
      <c r="A4" s="6" t="inlineStr">
        <is>
          <t>Line</t>
        </is>
      </c>
      <c r="B4" s="6" t="inlineStr">
        <is>
          <t>30 Sep 2026</t>
        </is>
      </c>
      <c r="C4" s="6" t="inlineStr">
        <is>
          <t>30 Jun 2026</t>
        </is>
      </c>
      <c r="D4" s="6" t="inlineStr">
        <is>
          <t>31 Dec 2025</t>
        </is>
      </c>
    </row>
    <row r="5">
      <c r="A5" s="3" t="inlineStr">
        <is>
          <t>Wise – USD</t>
        </is>
      </c>
      <c r="B5" s="10" t="n">
        <v>4404.33</v>
      </c>
      <c r="C5" s="10" t="n">
        <v>90275.2</v>
      </c>
      <c r="D5" s="10" t="n">
        <v>292.77</v>
      </c>
    </row>
    <row r="6">
      <c r="A6" s="3" t="inlineStr">
        <is>
          <t>Wise – EUR (USD equiv.)</t>
        </is>
      </c>
      <c r="B6" s="10" t="n">
        <v>29274.97</v>
      </c>
      <c r="C6" s="10" t="n">
        <v>8550.08</v>
      </c>
      <c r="D6" s="10" t="n">
        <v>23493.98</v>
      </c>
    </row>
    <row r="7">
      <c r="A7" s="3" t="inlineStr">
        <is>
          <t>Wise – GBP</t>
        </is>
      </c>
      <c r="B7" s="10" t="n">
        <v>0</v>
      </c>
      <c r="C7" s="10" t="n">
        <v>0</v>
      </c>
      <c r="D7" s="10" t="n">
        <v>0</v>
      </c>
    </row>
    <row r="8">
      <c r="A8" s="3" t="inlineStr">
        <is>
          <t>Accounts receivable</t>
        </is>
      </c>
      <c r="B8" s="10" t="n">
        <v>0</v>
      </c>
      <c r="C8" s="10" t="n">
        <v>53135.45</v>
      </c>
      <c r="D8" s="10" t="n">
        <v>0</v>
      </c>
    </row>
    <row r="9">
      <c r="A9" s="3" t="inlineStr">
        <is>
          <t>Advance payments (staff advance)</t>
        </is>
      </c>
      <c r="B9" s="10" t="n">
        <v>2064.97</v>
      </c>
      <c r="C9" s="10" t="n">
        <v>5064.97</v>
      </c>
      <c r="D9" s="10" t="n">
        <v>64.97</v>
      </c>
    </row>
    <row r="10">
      <c r="A10" s="3" t="inlineStr">
        <is>
          <t>Prepayments</t>
        </is>
      </c>
      <c r="B10" s="10" t="n">
        <v>213</v>
      </c>
      <c r="C10" s="10" t="n">
        <v>244.95</v>
      </c>
      <c r="D10" s="10" t="n">
        <v>308.85</v>
      </c>
    </row>
    <row r="11">
      <c r="A11" s="3" t="inlineStr">
        <is>
          <t>Fixed assets (net)</t>
        </is>
      </c>
      <c r="B11" s="10" t="n">
        <v>3512.33</v>
      </c>
      <c r="C11" s="10" t="n">
        <v>3512.33</v>
      </c>
      <c r="D11" s="10" t="n">
        <v>1733.89</v>
      </c>
    </row>
    <row r="12">
      <c r="A12" s="3" t="inlineStr">
        <is>
          <t>Accounts payable</t>
        </is>
      </c>
      <c r="B12" s="10" t="n">
        <v>-1914</v>
      </c>
      <c r="C12" s="10" t="n">
        <v>-113.77</v>
      </c>
      <c r="D12" s="10" t="n">
        <v>-1271.76</v>
      </c>
    </row>
    <row r="13">
      <c r="A13" s="3" t="inlineStr">
        <is>
          <t>Expenses payable</t>
        </is>
      </c>
      <c r="B13" s="10" t="n">
        <v>-0.11</v>
      </c>
      <c r="C13" s="10" t="n">
        <v>-0.11</v>
      </c>
      <c r="D13" s="10" t="n">
        <v>-829.11</v>
      </c>
    </row>
    <row r="14">
      <c r="A14" s="3" t="inlineStr">
        <is>
          <t>Suspense</t>
        </is>
      </c>
      <c r="B14" s="10" t="n">
        <v>21.5</v>
      </c>
      <c r="C14" s="10" t="n">
        <v>18.1</v>
      </c>
      <c r="D14" s="10" t="n">
        <v>0</v>
      </c>
    </row>
    <row r="15">
      <c r="A15" s="8" t="inlineStr">
        <is>
          <t>Net assets</t>
        </is>
      </c>
      <c r="B15" s="11">
        <f>SUM(B5:B14)</f>
        <v/>
      </c>
      <c r="C15" s="11">
        <f>SUM(C5:C14)</f>
        <v/>
      </c>
      <c r="D15" s="11">
        <f>SUM(D5:D14)</f>
        <v/>
      </c>
    </row>
    <row r="16">
      <c r="A16" s="3" t="inlineStr">
        <is>
          <t>Grant income earned, not yet invoiced (FCDO II 43,847.67 + Swiss Myanmar 2,464.00)</t>
        </is>
      </c>
      <c r="B16" s="12" t="n">
        <v>46311.67</v>
      </c>
      <c r="C16" s="3" t="n"/>
      <c r="D16" s="3" t="n"/>
    </row>
    <row r="17">
      <c r="A17" s="8" t="inlineStr">
        <is>
          <t>Adjusted net assets</t>
        </is>
      </c>
      <c r="B17" s="13">
        <f>B15+B16</f>
        <v/>
      </c>
      <c r="C17" s="8" t="n"/>
      <c r="D1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70" customWidth="1" min="7" max="7"/>
  </cols>
  <sheetData>
    <row r="1">
      <c r="A1" s="4" t="inlineStr">
        <is>
          <t>2026 YTD movements by fund (USD)</t>
        </is>
      </c>
    </row>
    <row r="2">
      <c r="A2" s="5" t="inlineStr">
        <is>
          <t>Donors tracking; expenditure ex-FX, FX on its own line</t>
        </is>
      </c>
    </row>
    <row r="4">
      <c r="A4" s="6" t="inlineStr">
        <is>
          <t>Fund</t>
        </is>
      </c>
      <c r="B4" s="6" t="inlineStr">
        <is>
          <t>Type</t>
        </is>
      </c>
      <c r="C4" s="6" t="inlineStr">
        <is>
          <t>Income</t>
        </is>
      </c>
      <c r="D4" s="6" t="inlineStr">
        <is>
          <t>Expenditure</t>
        </is>
      </c>
      <c r="E4" s="6" t="inlineStr">
        <is>
          <t>Transfers</t>
        </is>
      </c>
      <c r="F4" s="6" t="inlineStr">
        <is>
          <t>Net</t>
        </is>
      </c>
      <c r="G4" s="6" t="inlineStr">
        <is>
          <t>Note</t>
        </is>
      </c>
    </row>
    <row r="5">
      <c r="A5" s="3" t="inlineStr">
        <is>
          <t>OSF #4 general support (2025–29)</t>
        </is>
      </c>
      <c r="B5" s="3" t="inlineStr">
        <is>
          <t>Unrestricted</t>
        </is>
      </c>
      <c r="C5" s="10" t="n">
        <v>300023.7</v>
      </c>
      <c r="D5" s="10" t="n">
        <v>203699.5</v>
      </c>
      <c r="E5" s="10" t="n">
        <v>-45660.09</v>
      </c>
      <c r="F5" s="10">
        <f>C5-D5+E5</f>
        <v/>
      </c>
      <c r="G5" s="3" t="inlineStr">
        <is>
          <t>Year-2 tranche received Jan 2026; transfer = planned SDC co-funding</t>
        </is>
      </c>
    </row>
    <row r="6">
      <c r="A6" s="3" t="inlineStr">
        <is>
          <t>Reserves (interest)</t>
        </is>
      </c>
      <c r="B6" s="3" t="inlineStr">
        <is>
          <t>Unrestricted</t>
        </is>
      </c>
      <c r="C6" s="10" t="n">
        <v>1575.45</v>
      </c>
      <c r="D6" s="10" t="n">
        <v>0</v>
      </c>
      <c r="E6" s="10" t="n">
        <v>0</v>
      </c>
      <c r="F6" s="10">
        <f>C6-D6+E6</f>
        <v/>
      </c>
      <c r="G6" s="3" t="inlineStr"/>
    </row>
    <row r="7">
      <c r="A7" s="3" t="inlineStr">
        <is>
          <t>FX revaluation (all codes)</t>
        </is>
      </c>
      <c r="B7" s="3" t="inlineStr">
        <is>
          <t>Unrestricted</t>
        </is>
      </c>
      <c r="C7" s="10" t="n">
        <v>0</v>
      </c>
      <c r="D7" s="10" t="n">
        <v>235.04</v>
      </c>
      <c r="E7" s="10" t="n">
        <v>0</v>
      </c>
      <c r="F7" s="10">
        <f>C7-D7+E7</f>
        <v/>
      </c>
      <c r="G7" s="3" t="inlineStr">
        <is>
          <t>non-cash</t>
        </is>
      </c>
    </row>
    <row r="8">
      <c r="A8" s="3" t="inlineStr">
        <is>
          <t>Legacy / unassigned codes</t>
        </is>
      </c>
      <c r="B8" s="3" t="inlineStr">
        <is>
          <t>Unrestricted</t>
        </is>
      </c>
      <c r="C8" s="10" t="n">
        <v>0</v>
      </c>
      <c r="D8" s="10" t="n">
        <v>42.38</v>
      </c>
      <c r="E8" s="10" t="n">
        <v>0</v>
      </c>
      <c r="F8" s="10">
        <f>C8-D8+E8</f>
        <v/>
      </c>
      <c r="G8" s="3" t="inlineStr">
        <is>
          <t>OSF #1 9.36 + untagged 33.02</t>
        </is>
      </c>
    </row>
    <row r="9">
      <c r="A9" s="3" t="inlineStr">
        <is>
          <t>FCDO Phase I (closed Mar 2026)</t>
        </is>
      </c>
      <c r="B9" s="3" t="inlineStr">
        <is>
          <t>Restricted</t>
        </is>
      </c>
      <c r="C9" s="10" t="n">
        <v>61005</v>
      </c>
      <c r="D9" s="10" t="n">
        <v>52872.1</v>
      </c>
      <c r="E9" s="10" t="n">
        <v>0</v>
      </c>
      <c r="F9" s="10">
        <f>C9-D9+E9</f>
        <v/>
      </c>
      <c r="G9" s="3" t="inlineStr">
        <is>
          <t>2026 receipts also fund 2025 spend of 8,132.90 — balanced over grant life</t>
        </is>
      </c>
    </row>
    <row r="10">
      <c r="A10" s="3" t="inlineStr">
        <is>
          <t>FCDO Phase II (Jun 26 – Mar 27)</t>
        </is>
      </c>
      <c r="B10" s="3" t="inlineStr">
        <is>
          <t>Restricted</t>
        </is>
      </c>
      <c r="C10" s="10" t="n">
        <v>0</v>
      </c>
      <c r="D10" s="10" t="n">
        <v>43847.67</v>
      </c>
      <c r="E10" s="10" t="n">
        <v>0</v>
      </c>
      <c r="F10" s="10">
        <f>C10-D10+E10</f>
        <v/>
      </c>
      <c r="G10" s="3" t="inlineStr">
        <is>
          <t>reimbursement grant — timing only; claim due 16 Oct</t>
        </is>
      </c>
    </row>
    <row r="11">
      <c r="A11" s="3" t="inlineStr">
        <is>
          <t>SDC Rohingya Women's Dialogue (closed Apr 2026)</t>
        </is>
      </c>
      <c r="B11" s="3" t="inlineStr">
        <is>
          <t>Restricted</t>
        </is>
      </c>
      <c r="C11" s="10" t="n">
        <v>28130.47</v>
      </c>
      <c r="D11" s="10" t="n">
        <v>73790.56</v>
      </c>
      <c r="E11" s="10" t="n">
        <v>45660.09</v>
      </c>
      <c r="F11" s="10">
        <f>C11-D11+E11</f>
        <v/>
      </c>
      <c r="G11" s="3" t="inlineStr">
        <is>
          <t>final instalment + hūmānus' planned matched share (Art. 1.2); balanced and audited</t>
        </is>
      </c>
    </row>
    <row r="12">
      <c r="A12" s="3" t="inlineStr">
        <is>
          <t>Swiss Myanmar (Dec 25 – May 27)</t>
        </is>
      </c>
      <c r="B12" s="3" t="inlineStr">
        <is>
          <t>Restricted</t>
        </is>
      </c>
      <c r="C12" s="10" t="n">
        <v>24946</v>
      </c>
      <c r="D12" s="10" t="n">
        <v>27410</v>
      </c>
      <c r="E12" s="10" t="n">
        <v>0</v>
      </c>
      <c r="F12" s="10">
        <f>C12-D12+E12</f>
        <v/>
      </c>
      <c r="G12" s="3" t="inlineStr">
        <is>
          <t>timing only; tranche 2 due 31 Jan 2027</t>
        </is>
      </c>
    </row>
    <row r="13">
      <c r="A13" s="8" t="inlineStr">
        <is>
          <t>Total</t>
        </is>
      </c>
      <c r="B13" s="8" t="inlineStr"/>
      <c r="C13" s="14">
        <f>SUM(C5:C12)</f>
        <v/>
      </c>
      <c r="D13" s="14">
        <f>SUM(D5:D12)</f>
        <v/>
      </c>
      <c r="E13" s="14">
        <f>SUM(E5:E12)</f>
        <v/>
      </c>
      <c r="F13" s="14">
        <f>SUM(F5:F12)</f>
        <v/>
      </c>
      <c r="G1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4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4" t="inlineStr">
        <is>
          <t>Budget vs actual and full-year forecast (USD)</t>
        </is>
      </c>
    </row>
    <row r="2">
      <c r="A2" s="5" t="inlineStr">
        <is>
          <t>Monthly lines vs 9/12; envelopes vs full year</t>
        </is>
      </c>
    </row>
    <row r="4">
      <c r="A4" s="6" t="inlineStr">
        <is>
          <t>Budget line</t>
        </is>
      </c>
      <c r="B4" s="6" t="inlineStr">
        <is>
          <t>Type</t>
        </is>
      </c>
      <c r="C4" s="6" t="inlineStr">
        <is>
          <t>Xero accounts</t>
        </is>
      </c>
      <c r="D4" s="6" t="inlineStr">
        <is>
          <t>Working budget</t>
        </is>
      </c>
      <c r="E4" s="6" t="inlineStr">
        <is>
          <t>Board budget</t>
        </is>
      </c>
      <c r="F4" s="6" t="inlineStr">
        <is>
          <t>YTD basis (working)</t>
        </is>
      </c>
      <c r="G4" s="6" t="inlineStr">
        <is>
          <t>Actual YTD</t>
        </is>
      </c>
      <c r="H4" s="6" t="inlineStr">
        <is>
          <t>Variance</t>
        </is>
      </c>
      <c r="I4" s="6" t="inlineStr">
        <is>
          <t>Forecast FY</t>
        </is>
      </c>
      <c r="J4" s="6" t="inlineStr">
        <is>
          <t>FY vs working</t>
        </is>
      </c>
    </row>
    <row r="5">
      <c r="A5" s="3" t="inlineStr">
        <is>
          <t>Executive Director</t>
        </is>
      </c>
      <c r="B5" s="3" t="inlineStr">
        <is>
          <t>Monthly</t>
        </is>
      </c>
      <c r="C5" s="3" t="inlineStr">
        <is>
          <t>Executive Director</t>
        </is>
      </c>
      <c r="D5" s="7" t="n">
        <v>170400</v>
      </c>
      <c r="E5" s="7" t="n">
        <v>170400</v>
      </c>
      <c r="F5" s="7">
        <f>D5*9/12</f>
        <v/>
      </c>
      <c r="G5" s="7" t="n">
        <v>127800</v>
      </c>
      <c r="H5" s="7">
        <f>G5-F5</f>
        <v/>
      </c>
      <c r="I5" s="7" t="n">
        <v>170400</v>
      </c>
      <c r="J5" s="7">
        <f>I5-D5</f>
        <v/>
      </c>
    </row>
    <row r="6">
      <c r="A6" s="3" t="inlineStr">
        <is>
          <t>COLA</t>
        </is>
      </c>
      <c r="B6" s="3" t="inlineStr">
        <is>
          <t>Monthly</t>
        </is>
      </c>
      <c r="C6" s="3" t="inlineStr">
        <is>
          <t>Cost of Living Allowances</t>
        </is>
      </c>
      <c r="D6" s="7" t="n">
        <v>21600</v>
      </c>
      <c r="E6" s="7" t="n">
        <v>21600</v>
      </c>
      <c r="F6" s="7">
        <f>D6*9/12</f>
        <v/>
      </c>
      <c r="G6" s="7" t="n">
        <v>16931.01</v>
      </c>
      <c r="H6" s="7">
        <f>G6-F6</f>
        <v/>
      </c>
      <c r="I6" s="7" t="n">
        <v>22499.37</v>
      </c>
      <c r="J6" s="7">
        <f>I6-D6</f>
        <v/>
      </c>
    </row>
    <row r="7">
      <c r="A7" s="3" t="inlineStr">
        <is>
          <t>Senior Legal Advisor</t>
        </is>
      </c>
      <c r="B7" s="3" t="inlineStr">
        <is>
          <t>Monthly</t>
        </is>
      </c>
      <c r="C7" s="3" t="inlineStr"/>
      <c r="D7" s="7" t="n">
        <v>0</v>
      </c>
      <c r="E7" s="7" t="n">
        <v>120000</v>
      </c>
      <c r="F7" s="7">
        <f>D7*9/12</f>
        <v/>
      </c>
      <c r="G7" s="7" t="n">
        <v>0</v>
      </c>
      <c r="H7" s="7">
        <f>G7-F7</f>
        <v/>
      </c>
      <c r="I7" s="7" t="n">
        <v>0</v>
      </c>
      <c r="J7" s="7">
        <f>I7-D7</f>
        <v/>
      </c>
    </row>
    <row r="8">
      <c r="A8" s="3" t="inlineStr">
        <is>
          <t>Programme Manager</t>
        </is>
      </c>
      <c r="B8" s="3" t="inlineStr">
        <is>
          <t>Monthly</t>
        </is>
      </c>
      <c r="C8" s="3" t="inlineStr">
        <is>
          <t>Advocate / Programme Manager</t>
        </is>
      </c>
      <c r="D8" s="7" t="n">
        <v>42000</v>
      </c>
      <c r="E8" s="7" t="n">
        <v>42000</v>
      </c>
      <c r="F8" s="7">
        <f>D8*9/12</f>
        <v/>
      </c>
      <c r="G8" s="7" t="n">
        <v>34000</v>
      </c>
      <c r="H8" s="7">
        <f>G8-F8</f>
        <v/>
      </c>
      <c r="I8" s="7" t="n">
        <v>44500</v>
      </c>
      <c r="J8" s="7">
        <f>I8-D8</f>
        <v/>
      </c>
    </row>
    <row r="9">
      <c r="A9" s="3" t="inlineStr">
        <is>
          <t>Project Manager (Rohingya Manager)</t>
        </is>
      </c>
      <c r="B9" s="3" t="inlineStr">
        <is>
          <t>Monthly</t>
        </is>
      </c>
      <c r="C9" s="3" t="inlineStr">
        <is>
          <t>Rohingya Manager</t>
        </is>
      </c>
      <c r="D9" s="7" t="n">
        <v>31250</v>
      </c>
      <c r="E9" s="7" t="n">
        <v>31250</v>
      </c>
      <c r="F9" s="7">
        <f>D9*9/12</f>
        <v/>
      </c>
      <c r="G9" s="7" t="n">
        <v>22500</v>
      </c>
      <c r="H9" s="7">
        <f>G9-F9</f>
        <v/>
      </c>
      <c r="I9" s="7" t="n">
        <v>30000</v>
      </c>
      <c r="J9" s="7">
        <f>I9-D9</f>
        <v/>
      </c>
    </row>
    <row r="10">
      <c r="A10" s="3" t="inlineStr">
        <is>
          <t>Communications Advisor</t>
        </is>
      </c>
      <c r="B10" s="3" t="inlineStr">
        <is>
          <t>Monthly</t>
        </is>
      </c>
      <c r="C10" s="3" t="inlineStr">
        <is>
          <t>Communication Advisor</t>
        </is>
      </c>
      <c r="D10" s="7" t="n">
        <v>64800</v>
      </c>
      <c r="E10" s="7" t="n">
        <v>64800</v>
      </c>
      <c r="F10" s="7">
        <f>D10*9/12</f>
        <v/>
      </c>
      <c r="G10" s="7" t="n">
        <v>48461.94</v>
      </c>
      <c r="H10" s="7">
        <f>G10-F10</f>
        <v/>
      </c>
      <c r="I10" s="7" t="n">
        <v>64611.75</v>
      </c>
      <c r="J10" s="7">
        <f>I10-D10</f>
        <v/>
      </c>
    </row>
    <row r="11">
      <c r="A11" s="3" t="inlineStr">
        <is>
          <t>Communication Support</t>
        </is>
      </c>
      <c r="B11" s="3" t="inlineStr">
        <is>
          <t>Monthly</t>
        </is>
      </c>
      <c r="C11" s="3" t="inlineStr">
        <is>
          <t>Communication Support</t>
        </is>
      </c>
      <c r="D11" s="7" t="n">
        <v>14400</v>
      </c>
      <c r="E11" s="7" t="n">
        <v>14400</v>
      </c>
      <c r="F11" s="7">
        <f>D11*9/12</f>
        <v/>
      </c>
      <c r="G11" s="7" t="n">
        <v>11866.75</v>
      </c>
      <c r="H11" s="7">
        <f>G11-F11</f>
        <v/>
      </c>
      <c r="I11" s="7" t="n">
        <v>13814.98</v>
      </c>
      <c r="J11" s="7">
        <f>I11-D11</f>
        <v/>
      </c>
    </row>
    <row r="12">
      <c r="A12" s="3" t="inlineStr">
        <is>
          <t>Finance Manager</t>
        </is>
      </c>
      <c r="B12" s="3" t="inlineStr">
        <is>
          <t>Monthly</t>
        </is>
      </c>
      <c r="C12" s="3" t="inlineStr">
        <is>
          <t>Accounting &amp; Bookkeeping Fees</t>
        </is>
      </c>
      <c r="D12" s="7" t="n">
        <v>24000</v>
      </c>
      <c r="E12" s="7" t="n">
        <v>24000</v>
      </c>
      <c r="F12" s="7">
        <f>D12*9/12</f>
        <v/>
      </c>
      <c r="G12" s="7" t="n">
        <v>18000</v>
      </c>
      <c r="H12" s="7">
        <f>G12-F12</f>
        <v/>
      </c>
      <c r="I12" s="7" t="n">
        <v>22000</v>
      </c>
      <c r="J12" s="7">
        <f>I12-D12</f>
        <v/>
      </c>
    </row>
    <row r="13">
      <c r="A13" s="3" t="inlineStr">
        <is>
          <t>Operations Support</t>
        </is>
      </c>
      <c r="B13" s="3" t="inlineStr">
        <is>
          <t>Monthly</t>
        </is>
      </c>
      <c r="C13" s="3" t="inlineStr">
        <is>
          <t>Operations Support</t>
        </is>
      </c>
      <c r="D13" s="7" t="n">
        <v>18000</v>
      </c>
      <c r="E13" s="7" t="n">
        <v>18000</v>
      </c>
      <c r="F13" s="7">
        <f>D13*9/12</f>
        <v/>
      </c>
      <c r="G13" s="7" t="n">
        <v>6266.9</v>
      </c>
      <c r="H13" s="7">
        <f>G13-F13</f>
        <v/>
      </c>
      <c r="I13" s="7" t="n">
        <v>7194.96</v>
      </c>
      <c r="J13" s="7">
        <f>I13-D13</f>
        <v/>
      </c>
    </row>
    <row r="14">
      <c r="A14" s="3" t="inlineStr">
        <is>
          <t>Vehicle Hire &amp; Sundry</t>
        </is>
      </c>
      <c r="B14" s="3" t="inlineStr">
        <is>
          <t>Monthly</t>
        </is>
      </c>
      <c r="C14" s="3" t="inlineStr">
        <is>
          <t>Local Transportation</t>
        </is>
      </c>
      <c r="D14" s="7" t="n">
        <v>6000</v>
      </c>
      <c r="E14" s="7" t="n">
        <v>6000</v>
      </c>
      <c r="F14" s="7">
        <f>D14*9/12</f>
        <v/>
      </c>
      <c r="G14" s="7" t="n">
        <v>2286.22</v>
      </c>
      <c r="H14" s="7">
        <f>G14-F14</f>
        <v/>
      </c>
      <c r="I14" s="7" t="n">
        <v>2886.22</v>
      </c>
      <c r="J14" s="7">
        <f>I14-D14</f>
        <v/>
      </c>
    </row>
    <row r="15">
      <c r="A15" s="3" t="inlineStr">
        <is>
          <t>Volunteer Stipends</t>
        </is>
      </c>
      <c r="B15" s="3" t="inlineStr">
        <is>
          <t>Envelope</t>
        </is>
      </c>
      <c r="C15" s="3" t="inlineStr">
        <is>
          <t>Volunteer Stipends</t>
        </is>
      </c>
      <c r="D15" s="7" t="n">
        <v>12000</v>
      </c>
      <c r="E15" s="7" t="n">
        <v>12000</v>
      </c>
      <c r="F15" s="7">
        <f>D15</f>
        <v/>
      </c>
      <c r="G15" s="7" t="n">
        <v>12334</v>
      </c>
      <c r="H15" s="7">
        <f>G15-F15</f>
        <v/>
      </c>
      <c r="I15" s="7" t="n">
        <v>12334</v>
      </c>
      <c r="J15" s="7">
        <f>I15-D15</f>
        <v/>
      </c>
    </row>
    <row r="16">
      <c r="A16" s="3" t="inlineStr">
        <is>
          <t>Partner Expenses (Azadi)</t>
        </is>
      </c>
      <c r="B16" s="3" t="inlineStr">
        <is>
          <t>Envelope</t>
        </is>
      </c>
      <c r="C16" s="3" t="inlineStr">
        <is>
          <t>Partner Grants</t>
        </is>
      </c>
      <c r="D16" s="7" t="n">
        <v>30000</v>
      </c>
      <c r="E16" s="7" t="n">
        <v>30000</v>
      </c>
      <c r="F16" s="7">
        <f>D16</f>
        <v/>
      </c>
      <c r="G16" s="7" t="n">
        <v>14000</v>
      </c>
      <c r="H16" s="7">
        <f>G16-F16</f>
        <v/>
      </c>
      <c r="I16" s="7" t="n">
        <v>18000</v>
      </c>
      <c r="J16" s="7">
        <f>I16-D16</f>
        <v/>
      </c>
    </row>
    <row r="17">
      <c r="A17" s="3" t="inlineStr">
        <is>
          <t>Lawyer Fees</t>
        </is>
      </c>
      <c r="B17" s="3" t="inlineStr">
        <is>
          <t>Envelope</t>
        </is>
      </c>
      <c r="C17" s="3" t="inlineStr">
        <is>
          <t>Legal Fees</t>
        </is>
      </c>
      <c r="D17" s="7" t="n">
        <v>12000</v>
      </c>
      <c r="E17" s="7" t="n">
        <v>24000</v>
      </c>
      <c r="F17" s="7">
        <f>D17</f>
        <v/>
      </c>
      <c r="G17" s="7" t="n">
        <v>4363.31</v>
      </c>
      <c r="H17" s="7">
        <f>G17-F17</f>
        <v/>
      </c>
      <c r="I17" s="7" t="n">
        <v>4363.31</v>
      </c>
      <c r="J17" s="7">
        <f>I17-D17</f>
        <v/>
      </c>
    </row>
    <row r="18">
      <c r="A18" s="3" t="inlineStr">
        <is>
          <t>Audit</t>
        </is>
      </c>
      <c r="B18" s="3" t="inlineStr">
        <is>
          <t>Envelope</t>
        </is>
      </c>
      <c r="C18" s="3" t="inlineStr">
        <is>
          <t>Audit Fees</t>
        </is>
      </c>
      <c r="D18" s="7" t="n">
        <v>3000</v>
      </c>
      <c r="E18" s="7" t="n">
        <v>3000</v>
      </c>
      <c r="F18" s="7">
        <f>D18</f>
        <v/>
      </c>
      <c r="G18" s="7" t="n">
        <v>2822.06</v>
      </c>
      <c r="H18" s="7">
        <f>G18-F18</f>
        <v/>
      </c>
      <c r="I18" s="7" t="n">
        <v>2822.06</v>
      </c>
      <c r="J18" s="7">
        <f>I18-D18</f>
        <v/>
      </c>
    </row>
    <row r="19">
      <c r="A19" s="3" t="inlineStr">
        <is>
          <t>Board Meetings</t>
        </is>
      </c>
      <c r="B19" s="3" t="inlineStr">
        <is>
          <t>Envelope</t>
        </is>
      </c>
      <c r="C19" s="3" t="inlineStr">
        <is>
          <t>Board Meetings</t>
        </is>
      </c>
      <c r="D19" s="7" t="n">
        <v>4000</v>
      </c>
      <c r="E19" s="7" t="n">
        <v>4000</v>
      </c>
      <c r="F19" s="7">
        <f>D19</f>
        <v/>
      </c>
      <c r="G19" s="7" t="n">
        <v>8936.41</v>
      </c>
      <c r="H19" s="7">
        <f>G19-F19</f>
        <v/>
      </c>
      <c r="I19" s="7" t="n">
        <v>8936.41</v>
      </c>
      <c r="J19" s="7">
        <f>I19-D19</f>
        <v/>
      </c>
    </row>
    <row r="20">
      <c r="A20" s="3" t="inlineStr">
        <is>
          <t>Technology &amp; Software</t>
        </is>
      </c>
      <c r="B20" s="3" t="inlineStr">
        <is>
          <t>Envelope</t>
        </is>
      </c>
      <c r="C20" s="3" t="inlineStr">
        <is>
          <t>IT &amp; Software Expenses</t>
        </is>
      </c>
      <c r="D20" s="7" t="n">
        <v>5000</v>
      </c>
      <c r="E20" s="7" t="n">
        <v>5000</v>
      </c>
      <c r="F20" s="7">
        <f>D20</f>
        <v/>
      </c>
      <c r="G20" s="7" t="n">
        <v>5469.26</v>
      </c>
      <c r="H20" s="7">
        <f>G20-F20</f>
        <v/>
      </c>
      <c r="I20" s="7" t="n">
        <v>6527.36</v>
      </c>
      <c r="J20" s="7">
        <f>I20-D20</f>
        <v/>
      </c>
    </row>
    <row r="21">
      <c r="A21" s="3" t="inlineStr">
        <is>
          <t>Travel Expenses</t>
        </is>
      </c>
      <c r="B21" s="3" t="inlineStr">
        <is>
          <t>Envelope</t>
        </is>
      </c>
      <c r="C21" s="3" t="inlineStr">
        <is>
          <t>International Flights, Domestic Flights, Accommodation, Per diem</t>
        </is>
      </c>
      <c r="D21" s="7" t="n">
        <v>25000</v>
      </c>
      <c r="E21" s="7" t="n">
        <v>36000</v>
      </c>
      <c r="F21" s="7">
        <f>D21</f>
        <v/>
      </c>
      <c r="G21" s="7" t="n">
        <v>39178.17</v>
      </c>
      <c r="H21" s="7">
        <f>G21-F21</f>
        <v/>
      </c>
      <c r="I21" s="7" t="n">
        <v>47578.17</v>
      </c>
      <c r="J21" s="7">
        <f>I21-D21</f>
        <v/>
      </c>
    </row>
    <row r="22">
      <c r="A22" s="3" t="inlineStr">
        <is>
          <t>Fees (bank)</t>
        </is>
      </c>
      <c r="B22" s="3" t="inlineStr">
        <is>
          <t>Envelope</t>
        </is>
      </c>
      <c r="C22" s="3" t="inlineStr">
        <is>
          <t>Bank Charges &amp; Merchant Fees</t>
        </is>
      </c>
      <c r="D22" s="7" t="n">
        <v>5000</v>
      </c>
      <c r="E22" s="7" t="n">
        <v>5000</v>
      </c>
      <c r="F22" s="7">
        <f>D22</f>
        <v/>
      </c>
      <c r="G22" s="7" t="n">
        <v>510.63</v>
      </c>
      <c r="H22" s="7">
        <f>G22-F22</f>
        <v/>
      </c>
      <c r="I22" s="7" t="n">
        <v>677.85</v>
      </c>
      <c r="J22" s="7">
        <f>I22-D22</f>
        <v/>
      </c>
    </row>
    <row r="23">
      <c r="A23" s="3" t="inlineStr">
        <is>
          <t>Unbudgeted — Confidence Building Measures (FCDO I funded)</t>
        </is>
      </c>
      <c r="B23" s="3" t="inlineStr">
        <is>
          <t>Unbudgeted</t>
        </is>
      </c>
      <c r="C23" s="3" t="inlineStr">
        <is>
          <t>Confidence Building Measures</t>
        </is>
      </c>
      <c r="D23" s="7" t="n">
        <v>0</v>
      </c>
      <c r="E23" s="7" t="n">
        <v>0</v>
      </c>
      <c r="F23" s="7">
        <f>D23</f>
        <v/>
      </c>
      <c r="G23" s="7" t="n">
        <v>14598</v>
      </c>
      <c r="H23" s="7">
        <f>G23-F23</f>
        <v/>
      </c>
      <c r="I23" s="7" t="n">
        <v>14598</v>
      </c>
      <c r="J23" s="7">
        <f>I23-D23</f>
        <v/>
      </c>
    </row>
    <row r="24">
      <c r="A24" s="3" t="inlineStr">
        <is>
          <t>Unbudgeted — Meeting Expenses</t>
        </is>
      </c>
      <c r="B24" s="3" t="inlineStr">
        <is>
          <t>Unbudgeted</t>
        </is>
      </c>
      <c r="C24" s="3" t="inlineStr">
        <is>
          <t>Meeting Expenses</t>
        </is>
      </c>
      <c r="D24" s="7" t="n">
        <v>0</v>
      </c>
      <c r="E24" s="7" t="n">
        <v>0</v>
      </c>
      <c r="F24" s="7">
        <f>D24</f>
        <v/>
      </c>
      <c r="G24" s="7" t="n">
        <v>8930.139999999999</v>
      </c>
      <c r="H24" s="7">
        <f>G24-F24</f>
        <v/>
      </c>
      <c r="I24" s="7" t="n">
        <v>10930.14</v>
      </c>
      <c r="J24" s="7">
        <f>I24-D24</f>
        <v/>
      </c>
    </row>
    <row r="25">
      <c r="A25" s="3" t="inlineStr">
        <is>
          <t>Unbudgeted — Project Consultants</t>
        </is>
      </c>
      <c r="B25" s="3" t="inlineStr">
        <is>
          <t>Unbudgeted</t>
        </is>
      </c>
      <c r="C25" s="3" t="inlineStr">
        <is>
          <t>Project Consultants</t>
        </is>
      </c>
      <c r="D25" s="7" t="n">
        <v>0</v>
      </c>
      <c r="E25" s="7" t="n">
        <v>0</v>
      </c>
      <c r="F25" s="7">
        <f>D25</f>
        <v/>
      </c>
      <c r="G25" s="7" t="n">
        <v>2293.57</v>
      </c>
      <c r="H25" s="7">
        <f>G25-F25</f>
        <v/>
      </c>
      <c r="I25" s="7" t="n">
        <v>4544.57</v>
      </c>
      <c r="J25" s="7">
        <f>I25-D25</f>
        <v/>
      </c>
    </row>
    <row r="26">
      <c r="A26" s="3" t="inlineStr">
        <is>
          <t>Unbudgeted — Depreciation</t>
        </is>
      </c>
      <c r="B26" s="3" t="inlineStr">
        <is>
          <t>Unbudgeted</t>
        </is>
      </c>
      <c r="C26" s="3" t="inlineStr">
        <is>
          <t>Depreciation</t>
        </is>
      </c>
      <c r="D26" s="7" t="n">
        <v>0</v>
      </c>
      <c r="E26" s="7" t="n">
        <v>0</v>
      </c>
      <c r="F26" s="7">
        <f>D26</f>
        <v/>
      </c>
      <c r="G26" s="7" t="n">
        <v>113.84</v>
      </c>
      <c r="H26" s="7">
        <f>G26-F26</f>
        <v/>
      </c>
      <c r="I26" s="7" t="n">
        <v>113.84</v>
      </c>
      <c r="J26" s="7">
        <f>I26-D26</f>
        <v/>
      </c>
    </row>
    <row r="27">
      <c r="A27" s="3" t="inlineStr">
        <is>
          <t>FX revaluation</t>
        </is>
      </c>
      <c r="B27" s="3" t="inlineStr">
        <is>
          <t>—</t>
        </is>
      </c>
      <c r="C27" s="3" t="inlineStr">
        <is>
          <t>Foreign Currency Gains and Losses</t>
        </is>
      </c>
      <c r="D27" s="7" t="n">
        <v>0</v>
      </c>
      <c r="E27" s="7" t="n">
        <v>0</v>
      </c>
      <c r="F27" s="7" t="n">
        <v>0</v>
      </c>
      <c r="G27" s="7" t="n">
        <v>235.02</v>
      </c>
      <c r="H27" s="7">
        <f>G27-F27</f>
        <v/>
      </c>
      <c r="I27" s="7" t="n">
        <v>235.02</v>
      </c>
      <c r="J27" s="7">
        <f>I27-D27</f>
        <v/>
      </c>
    </row>
    <row r="28">
      <c r="A28" s="8" t="inlineStr">
        <is>
          <t>Total</t>
        </is>
      </c>
      <c r="B28" s="8" t="inlineStr"/>
      <c r="C28" s="8" t="inlineStr"/>
      <c r="D28" s="9">
        <f>SUM(D5:D27)</f>
        <v/>
      </c>
      <c r="E28" s="9">
        <f>SUM(E5:E27)</f>
        <v/>
      </c>
      <c r="F28" s="9">
        <f>SUM(F5:F27)</f>
        <v/>
      </c>
      <c r="G28" s="9">
        <f>SUM(G5:G27)</f>
        <v/>
      </c>
      <c r="H28" s="9">
        <f>SUM(H5:H27)</f>
        <v/>
      </c>
      <c r="I28" s="9">
        <f>SUM(I5:I27)</f>
        <v/>
      </c>
      <c r="J28" s="9">
        <f>SUM(J5:J27)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Cash forecast assumptions (USD per month)</t>
        </is>
      </c>
    </row>
    <row r="2">
      <c r="A2" s="5" t="inlineStr">
        <is>
          <t>Edit the yellow cells; Cash forecast tab recalculates</t>
        </is>
      </c>
    </row>
    <row r="4">
      <c r="A4" s="6" t="inlineStr">
        <is>
          <t>Line</t>
        </is>
      </c>
      <c r="B4" s="6" t="inlineStr">
        <is>
          <t>Oct 26</t>
        </is>
      </c>
      <c r="C4" s="6" t="inlineStr">
        <is>
          <t>Nov 26</t>
        </is>
      </c>
      <c r="D4" s="6" t="inlineStr">
        <is>
          <t>Dec 26</t>
        </is>
      </c>
      <c r="E4" s="6" t="inlineStr">
        <is>
          <t>Jan 27</t>
        </is>
      </c>
      <c r="F4" s="6" t="inlineStr">
        <is>
          <t>Feb 27</t>
        </is>
      </c>
      <c r="G4" s="6" t="inlineStr">
        <is>
          <t>Mar 27</t>
        </is>
      </c>
      <c r="H4" s="6" t="inlineStr">
        <is>
          <t>Apr 27</t>
        </is>
      </c>
      <c r="I4" s="6" t="inlineStr">
        <is>
          <t>May 27</t>
        </is>
      </c>
      <c r="J4" s="6" t="inlineStr">
        <is>
          <t>Jun 27</t>
        </is>
      </c>
    </row>
    <row r="5">
      <c r="A5" s="3" t="inlineStr">
        <is>
          <t>Executive Director</t>
        </is>
      </c>
      <c r="B5" s="15" t="n">
        <v>14200</v>
      </c>
      <c r="C5" s="15" t="n">
        <v>14200</v>
      </c>
      <c r="D5" s="15" t="n">
        <v>14200</v>
      </c>
      <c r="E5" s="15" t="n">
        <v>14200</v>
      </c>
      <c r="F5" s="15" t="n">
        <v>14200</v>
      </c>
      <c r="G5" s="15" t="n">
        <v>14200</v>
      </c>
      <c r="H5" s="15" t="n">
        <v>14200</v>
      </c>
      <c r="I5" s="15" t="n">
        <v>14200</v>
      </c>
      <c r="J5" s="15" t="n">
        <v>14200</v>
      </c>
    </row>
    <row r="6">
      <c r="A6" s="3" t="inlineStr">
        <is>
          <t>Communication Advisor</t>
        </is>
      </c>
      <c r="B6" s="15" t="n">
        <v>5383.27</v>
      </c>
      <c r="C6" s="15" t="n">
        <v>5383.27</v>
      </c>
      <c r="D6" s="15" t="n">
        <v>5383.27</v>
      </c>
      <c r="E6" s="15" t="n">
        <v>5383.27</v>
      </c>
      <c r="F6" s="15" t="n">
        <v>5383.27</v>
      </c>
      <c r="G6" s="15" t="n">
        <v>5383.27</v>
      </c>
      <c r="H6" s="15" t="n">
        <v>5383.27</v>
      </c>
      <c r="I6" s="15" t="n">
        <v>5383.27</v>
      </c>
      <c r="J6" s="15" t="n">
        <v>5383.27</v>
      </c>
    </row>
    <row r="7">
      <c r="A7" s="3" t="inlineStr">
        <is>
          <t>Advocate / Programme Manager</t>
        </is>
      </c>
      <c r="B7" s="15" t="n">
        <v>3500</v>
      </c>
      <c r="C7" s="15" t="n">
        <v>3500</v>
      </c>
      <c r="D7" s="15" t="n">
        <v>3500</v>
      </c>
      <c r="E7" s="15" t="n">
        <v>3500</v>
      </c>
      <c r="F7" s="15" t="n">
        <v>3500</v>
      </c>
      <c r="G7" s="15" t="n">
        <v>3500</v>
      </c>
      <c r="H7" s="15" t="n">
        <v>3500</v>
      </c>
      <c r="I7" s="15" t="n">
        <v>3500</v>
      </c>
      <c r="J7" s="15" t="n">
        <v>3500</v>
      </c>
    </row>
    <row r="8">
      <c r="A8" s="3" t="inlineStr">
        <is>
          <t>Rohingya Manager (cash)</t>
        </is>
      </c>
      <c r="B8" s="15" t="n">
        <v>1500</v>
      </c>
      <c r="C8" s="15" t="n">
        <v>1500</v>
      </c>
      <c r="D8" s="15" t="n">
        <v>2435.03</v>
      </c>
      <c r="E8" s="15" t="n">
        <v>2500</v>
      </c>
      <c r="F8" s="15" t="n">
        <v>2500</v>
      </c>
      <c r="G8" s="15" t="n">
        <v>2500</v>
      </c>
      <c r="H8" s="15" t="n">
        <v>2500</v>
      </c>
      <c r="I8" s="15" t="n">
        <v>2500</v>
      </c>
      <c r="J8" s="15" t="n">
        <v>0</v>
      </c>
    </row>
    <row r="9">
      <c r="A9" s="3" t="inlineStr">
        <is>
          <t>Cost of Living Allowance (GBP 1,400)</t>
        </is>
      </c>
      <c r="B9" s="15" t="n">
        <v>1856.12</v>
      </c>
      <c r="C9" s="15" t="n">
        <v>1856.12</v>
      </c>
      <c r="D9" s="15" t="n">
        <v>1856.12</v>
      </c>
      <c r="E9" s="15" t="n">
        <v>1856.12</v>
      </c>
      <c r="F9" s="15" t="n">
        <v>1856.12</v>
      </c>
      <c r="G9" s="15" t="n">
        <v>1856.12</v>
      </c>
      <c r="H9" s="15" t="n">
        <v>1856.12</v>
      </c>
      <c r="I9" s="15" t="n">
        <v>1856.12</v>
      </c>
      <c r="J9" s="15" t="n">
        <v>1856.12</v>
      </c>
    </row>
    <row r="10">
      <c r="A10" s="3" t="inlineStr">
        <is>
          <t>Finance Manager (SK Das)</t>
        </is>
      </c>
      <c r="B10" s="15" t="n">
        <v>2000</v>
      </c>
      <c r="C10" s="15" t="n">
        <v>1000</v>
      </c>
      <c r="D10" s="15" t="n">
        <v>1000</v>
      </c>
      <c r="E10" s="15" t="n">
        <v>1000</v>
      </c>
      <c r="F10" s="15" t="n">
        <v>1000</v>
      </c>
      <c r="G10" s="15" t="n">
        <v>1000</v>
      </c>
      <c r="H10" s="15" t="n">
        <v>1000</v>
      </c>
      <c r="I10" s="15" t="n">
        <v>1000</v>
      </c>
      <c r="J10" s="15" t="n">
        <v>1000</v>
      </c>
    </row>
    <row r="11">
      <c r="A11" s="3" t="inlineStr">
        <is>
          <t>Communication Support</t>
        </is>
      </c>
      <c r="B11" s="15" t="n">
        <v>649.41</v>
      </c>
      <c r="C11" s="15" t="n">
        <v>649.41</v>
      </c>
      <c r="D11" s="15" t="n">
        <v>649.41</v>
      </c>
      <c r="E11" s="15" t="n">
        <v>649.41</v>
      </c>
      <c r="F11" s="15" t="n">
        <v>649.41</v>
      </c>
      <c r="G11" s="15" t="n">
        <v>649.41</v>
      </c>
      <c r="H11" s="15" t="n">
        <v>649.41</v>
      </c>
      <c r="I11" s="15" t="n">
        <v>649.41</v>
      </c>
      <c r="J11" s="15" t="n">
        <v>649.41</v>
      </c>
    </row>
    <row r="12">
      <c r="A12" s="3" t="inlineStr">
        <is>
          <t>IT &amp; software</t>
        </is>
      </c>
      <c r="B12" s="15" t="n">
        <v>352.7</v>
      </c>
      <c r="C12" s="15" t="n">
        <v>352.7</v>
      </c>
      <c r="D12" s="15" t="n">
        <v>352.7</v>
      </c>
      <c r="E12" s="15" t="n">
        <v>352.7</v>
      </c>
      <c r="F12" s="15" t="n">
        <v>352.7</v>
      </c>
      <c r="G12" s="15" t="n">
        <v>352.7</v>
      </c>
      <c r="H12" s="15" t="n">
        <v>352.7</v>
      </c>
      <c r="I12" s="15" t="n">
        <v>352.7</v>
      </c>
      <c r="J12" s="15" t="n">
        <v>352.7</v>
      </c>
    </row>
    <row r="13">
      <c r="A13" s="3" t="inlineStr">
        <is>
          <t>Bank charges</t>
        </is>
      </c>
      <c r="B13" s="15" t="n">
        <v>55.74</v>
      </c>
      <c r="C13" s="15" t="n">
        <v>55.74</v>
      </c>
      <c r="D13" s="15" t="n">
        <v>55.74</v>
      </c>
      <c r="E13" s="15" t="n">
        <v>55.74</v>
      </c>
      <c r="F13" s="15" t="n">
        <v>55.74</v>
      </c>
      <c r="G13" s="15" t="n">
        <v>55.74</v>
      </c>
      <c r="H13" s="15" t="n">
        <v>55.74</v>
      </c>
      <c r="I13" s="15" t="n">
        <v>55.74</v>
      </c>
      <c r="J13" s="15" t="n">
        <v>55.74</v>
      </c>
    </row>
    <row r="14">
      <c r="A14" s="3" t="inlineStr">
        <is>
          <t>One-off committed bills</t>
        </is>
      </c>
      <c r="B14" s="15" t="n">
        <v>5282.7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3000</v>
      </c>
      <c r="I14" s="15" t="n">
        <v>0</v>
      </c>
      <c r="J14" s="15" t="n">
        <v>0</v>
      </c>
    </row>
    <row r="16">
      <c r="A16" s="2" t="inlineStr">
        <is>
          <t>Programme &amp; travel per month — selected scenario</t>
        </is>
      </c>
      <c r="B16" s="16" t="n">
        <v>5000</v>
      </c>
      <c r="C16" s="17" t="inlineStr">
        <is>
          <t>Central 5,000 · Freeze 0 · Q3 run-rate 10,636</t>
        </is>
      </c>
    </row>
    <row r="18">
      <c r="A18" s="6" t="inlineStr">
        <is>
          <t>Inflow</t>
        </is>
      </c>
      <c r="B18" s="6" t="inlineStr">
        <is>
          <t>Oct 26</t>
        </is>
      </c>
      <c r="C18" s="6" t="inlineStr">
        <is>
          <t>Nov 26</t>
        </is>
      </c>
      <c r="D18" s="6" t="inlineStr">
        <is>
          <t>Dec 26</t>
        </is>
      </c>
      <c r="E18" s="6" t="inlineStr">
        <is>
          <t>Jan 27</t>
        </is>
      </c>
      <c r="F18" s="6" t="inlineStr">
        <is>
          <t>Feb 27</t>
        </is>
      </c>
      <c r="G18" s="6" t="inlineStr">
        <is>
          <t>Mar 27</t>
        </is>
      </c>
      <c r="H18" s="6" t="inlineStr">
        <is>
          <t>Apr 27</t>
        </is>
      </c>
      <c r="I18" s="6" t="inlineStr">
        <is>
          <t>May 27</t>
        </is>
      </c>
      <c r="J18" s="6" t="inlineStr">
        <is>
          <t>Jun 27</t>
        </is>
      </c>
    </row>
    <row r="19">
      <c r="A19" s="3" t="inlineStr">
        <is>
          <t>FCDO Phase II claim Jun–Oct 2026 (Schedule 2, ind. Nov 2026)</t>
        </is>
      </c>
      <c r="B19" s="15" t="n">
        <v>0</v>
      </c>
      <c r="C19" s="15" t="n">
        <v>52800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</row>
    <row r="20">
      <c r="A20" s="3" t="inlineStr">
        <is>
          <t>OSF #4 Year-3 tranche (contract: January 2027)</t>
        </is>
      </c>
      <c r="B20" s="15" t="n">
        <v>0</v>
      </c>
      <c r="C20" s="15" t="n">
        <v>0</v>
      </c>
      <c r="D20" s="15" t="n">
        <v>0</v>
      </c>
      <c r="E20" s="15" t="n">
        <v>300000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</row>
    <row r="21">
      <c r="A21" s="3" t="inlineStr">
        <is>
          <t>Swiss Myanmar tranche 2 (§3.3: 31 Jan 2027)</t>
        </is>
      </c>
      <c r="B21" s="15" t="n">
        <v>0</v>
      </c>
      <c r="C21" s="15" t="n">
        <v>0</v>
      </c>
      <c r="D21" s="15" t="n">
        <v>0</v>
      </c>
      <c r="E21" s="15" t="n">
        <v>24946.67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</row>
    <row r="22">
      <c r="A22" s="3" t="inlineStr">
        <is>
          <t>FCDO Phase II final claim Nov 26–Mar 27 (ind. May 2027)</t>
        </is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47000</v>
      </c>
      <c r="J22" s="15" t="n">
        <v>0</v>
      </c>
    </row>
    <row r="23">
      <c r="A23" s="3" t="inlineStr">
        <is>
          <t>Swiss Myanmar tranche 3 (§3.3: 30 Jun 2027)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24946.66</v>
      </c>
    </row>
    <row r="25">
      <c r="A25" s="5" t="inlineStr">
        <is>
          <t>One-offs: Oct = paid 1–12 Oct 2,103.64 + Chair stipend EUR 2,000 + Free Thought GBP 700; Apr 27 = 2026 audit fee ~3,000.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Monthly cash forecast — selected scenario (USD, month-end)</t>
        </is>
      </c>
    </row>
    <row r="2">
      <c r="A2" s="5" t="inlineStr">
        <is>
          <t>Linked to Assumptions; opening cash = Xero BS 30 Sep 2026</t>
        </is>
      </c>
    </row>
    <row r="4">
      <c r="A4" s="6" t="inlineStr">
        <is>
          <t>Line</t>
        </is>
      </c>
      <c r="B4" s="6" t="inlineStr">
        <is>
          <t>Oct 26</t>
        </is>
      </c>
      <c r="C4" s="6" t="inlineStr">
        <is>
          <t>Nov 26</t>
        </is>
      </c>
      <c r="D4" s="6" t="inlineStr">
        <is>
          <t>Dec 26</t>
        </is>
      </c>
      <c r="E4" s="6" t="inlineStr">
        <is>
          <t>Jan 27</t>
        </is>
      </c>
      <c r="F4" s="6" t="inlineStr">
        <is>
          <t>Feb 27</t>
        </is>
      </c>
      <c r="G4" s="6" t="inlineStr">
        <is>
          <t>Mar 27</t>
        </is>
      </c>
      <c r="H4" s="6" t="inlineStr">
        <is>
          <t>Apr 27</t>
        </is>
      </c>
      <c r="I4" s="6" t="inlineStr">
        <is>
          <t>May 27</t>
        </is>
      </c>
      <c r="J4" s="6" t="inlineStr">
        <is>
          <t>Jun 27</t>
        </is>
      </c>
    </row>
    <row r="5">
      <c r="A5" s="2" t="inlineStr">
        <is>
          <t>Opening cash</t>
        </is>
      </c>
      <c r="B5" s="18" t="n">
        <v>33679.3</v>
      </c>
      <c r="C5" s="18">
        <f>B24</f>
        <v/>
      </c>
      <c r="D5" s="18">
        <f>C24</f>
        <v/>
      </c>
      <c r="E5" s="18">
        <f>D24</f>
        <v/>
      </c>
      <c r="F5" s="18">
        <f>E24</f>
        <v/>
      </c>
      <c r="G5" s="18">
        <f>F24</f>
        <v/>
      </c>
      <c r="H5" s="18">
        <f>G24</f>
        <v/>
      </c>
      <c r="I5" s="18">
        <f>H24</f>
        <v/>
      </c>
      <c r="J5" s="18">
        <f>I24</f>
        <v/>
      </c>
    </row>
    <row r="6">
      <c r="A6" s="3" t="inlineStr">
        <is>
          <t>Executive Director</t>
        </is>
      </c>
      <c r="B6" s="7">
        <f>Assumptions!B5</f>
        <v/>
      </c>
      <c r="C6" s="7">
        <f>Assumptions!C5</f>
        <v/>
      </c>
      <c r="D6" s="7">
        <f>Assumptions!D5</f>
        <v/>
      </c>
      <c r="E6" s="7">
        <f>Assumptions!E5</f>
        <v/>
      </c>
      <c r="F6" s="7">
        <f>Assumptions!F5</f>
        <v/>
      </c>
      <c r="G6" s="7">
        <f>Assumptions!G5</f>
        <v/>
      </c>
      <c r="H6" s="7">
        <f>Assumptions!H5</f>
        <v/>
      </c>
      <c r="I6" s="7">
        <f>Assumptions!I5</f>
        <v/>
      </c>
      <c r="J6" s="7">
        <f>Assumptions!J5</f>
        <v/>
      </c>
    </row>
    <row r="7">
      <c r="A7" s="3" t="inlineStr">
        <is>
          <t>Communication Advisor</t>
        </is>
      </c>
      <c r="B7" s="7">
        <f>Assumptions!B6</f>
        <v/>
      </c>
      <c r="C7" s="7">
        <f>Assumptions!C6</f>
        <v/>
      </c>
      <c r="D7" s="7">
        <f>Assumptions!D6</f>
        <v/>
      </c>
      <c r="E7" s="7">
        <f>Assumptions!E6</f>
        <v/>
      </c>
      <c r="F7" s="7">
        <f>Assumptions!F6</f>
        <v/>
      </c>
      <c r="G7" s="7">
        <f>Assumptions!G6</f>
        <v/>
      </c>
      <c r="H7" s="7">
        <f>Assumptions!H6</f>
        <v/>
      </c>
      <c r="I7" s="7">
        <f>Assumptions!I6</f>
        <v/>
      </c>
      <c r="J7" s="7">
        <f>Assumptions!J6</f>
        <v/>
      </c>
    </row>
    <row r="8">
      <c r="A8" s="3" t="inlineStr">
        <is>
          <t>Advocate / Programme Manager</t>
        </is>
      </c>
      <c r="B8" s="7">
        <f>Assumptions!B7</f>
        <v/>
      </c>
      <c r="C8" s="7">
        <f>Assumptions!C7</f>
        <v/>
      </c>
      <c r="D8" s="7">
        <f>Assumptions!D7</f>
        <v/>
      </c>
      <c r="E8" s="7">
        <f>Assumptions!E7</f>
        <v/>
      </c>
      <c r="F8" s="7">
        <f>Assumptions!F7</f>
        <v/>
      </c>
      <c r="G8" s="7">
        <f>Assumptions!G7</f>
        <v/>
      </c>
      <c r="H8" s="7">
        <f>Assumptions!H7</f>
        <v/>
      </c>
      <c r="I8" s="7">
        <f>Assumptions!I7</f>
        <v/>
      </c>
      <c r="J8" s="7">
        <f>Assumptions!J7</f>
        <v/>
      </c>
    </row>
    <row r="9">
      <c r="A9" s="3" t="inlineStr">
        <is>
          <t>Rohingya Manager (cash)</t>
        </is>
      </c>
      <c r="B9" s="7">
        <f>Assumptions!B8</f>
        <v/>
      </c>
      <c r="C9" s="7">
        <f>Assumptions!C8</f>
        <v/>
      </c>
      <c r="D9" s="7">
        <f>Assumptions!D8</f>
        <v/>
      </c>
      <c r="E9" s="7">
        <f>Assumptions!E8</f>
        <v/>
      </c>
      <c r="F9" s="7">
        <f>Assumptions!F8</f>
        <v/>
      </c>
      <c r="G9" s="7">
        <f>Assumptions!G8</f>
        <v/>
      </c>
      <c r="H9" s="7">
        <f>Assumptions!H8</f>
        <v/>
      </c>
      <c r="I9" s="7">
        <f>Assumptions!I8</f>
        <v/>
      </c>
      <c r="J9" s="7">
        <f>Assumptions!J8</f>
        <v/>
      </c>
    </row>
    <row r="10">
      <c r="A10" s="3" t="inlineStr">
        <is>
          <t>Cost of Living Allowance (GBP 1,400)</t>
        </is>
      </c>
      <c r="B10" s="7">
        <f>Assumptions!B9</f>
        <v/>
      </c>
      <c r="C10" s="7">
        <f>Assumptions!C9</f>
        <v/>
      </c>
      <c r="D10" s="7">
        <f>Assumptions!D9</f>
        <v/>
      </c>
      <c r="E10" s="7">
        <f>Assumptions!E9</f>
        <v/>
      </c>
      <c r="F10" s="7">
        <f>Assumptions!F9</f>
        <v/>
      </c>
      <c r="G10" s="7">
        <f>Assumptions!G9</f>
        <v/>
      </c>
      <c r="H10" s="7">
        <f>Assumptions!H9</f>
        <v/>
      </c>
      <c r="I10" s="7">
        <f>Assumptions!I9</f>
        <v/>
      </c>
      <c r="J10" s="7">
        <f>Assumptions!J9</f>
        <v/>
      </c>
    </row>
    <row r="11">
      <c r="A11" s="3" t="inlineStr">
        <is>
          <t>Finance Manager (SK Das)</t>
        </is>
      </c>
      <c r="B11" s="7">
        <f>Assumptions!B10</f>
        <v/>
      </c>
      <c r="C11" s="7">
        <f>Assumptions!C10</f>
        <v/>
      </c>
      <c r="D11" s="7">
        <f>Assumptions!D10</f>
        <v/>
      </c>
      <c r="E11" s="7">
        <f>Assumptions!E10</f>
        <v/>
      </c>
      <c r="F11" s="7">
        <f>Assumptions!F10</f>
        <v/>
      </c>
      <c r="G11" s="7">
        <f>Assumptions!G10</f>
        <v/>
      </c>
      <c r="H11" s="7">
        <f>Assumptions!H10</f>
        <v/>
      </c>
      <c r="I11" s="7">
        <f>Assumptions!I10</f>
        <v/>
      </c>
      <c r="J11" s="7">
        <f>Assumptions!J10</f>
        <v/>
      </c>
    </row>
    <row r="12">
      <c r="A12" s="3" t="inlineStr">
        <is>
          <t>Communication Support</t>
        </is>
      </c>
      <c r="B12" s="7">
        <f>Assumptions!B11</f>
        <v/>
      </c>
      <c r="C12" s="7">
        <f>Assumptions!C11</f>
        <v/>
      </c>
      <c r="D12" s="7">
        <f>Assumptions!D11</f>
        <v/>
      </c>
      <c r="E12" s="7">
        <f>Assumptions!E11</f>
        <v/>
      </c>
      <c r="F12" s="7">
        <f>Assumptions!F11</f>
        <v/>
      </c>
      <c r="G12" s="7">
        <f>Assumptions!G11</f>
        <v/>
      </c>
      <c r="H12" s="7">
        <f>Assumptions!H11</f>
        <v/>
      </c>
      <c r="I12" s="7">
        <f>Assumptions!I11</f>
        <v/>
      </c>
      <c r="J12" s="7">
        <f>Assumptions!J11</f>
        <v/>
      </c>
    </row>
    <row r="13">
      <c r="A13" s="3" t="inlineStr">
        <is>
          <t>IT &amp; software</t>
        </is>
      </c>
      <c r="B13" s="7">
        <f>Assumptions!B12</f>
        <v/>
      </c>
      <c r="C13" s="7">
        <f>Assumptions!C12</f>
        <v/>
      </c>
      <c r="D13" s="7">
        <f>Assumptions!D12</f>
        <v/>
      </c>
      <c r="E13" s="7">
        <f>Assumptions!E12</f>
        <v/>
      </c>
      <c r="F13" s="7">
        <f>Assumptions!F12</f>
        <v/>
      </c>
      <c r="G13" s="7">
        <f>Assumptions!G12</f>
        <v/>
      </c>
      <c r="H13" s="7">
        <f>Assumptions!H12</f>
        <v/>
      </c>
      <c r="I13" s="7">
        <f>Assumptions!I12</f>
        <v/>
      </c>
      <c r="J13" s="7">
        <f>Assumptions!J12</f>
        <v/>
      </c>
    </row>
    <row r="14">
      <c r="A14" s="3" t="inlineStr">
        <is>
          <t>Bank charges</t>
        </is>
      </c>
      <c r="B14" s="7">
        <f>Assumptions!B13</f>
        <v/>
      </c>
      <c r="C14" s="7">
        <f>Assumptions!C13</f>
        <v/>
      </c>
      <c r="D14" s="7">
        <f>Assumptions!D13</f>
        <v/>
      </c>
      <c r="E14" s="7">
        <f>Assumptions!E13</f>
        <v/>
      </c>
      <c r="F14" s="7">
        <f>Assumptions!F13</f>
        <v/>
      </c>
      <c r="G14" s="7">
        <f>Assumptions!G13</f>
        <v/>
      </c>
      <c r="H14" s="7">
        <f>Assumptions!H13</f>
        <v/>
      </c>
      <c r="I14" s="7">
        <f>Assumptions!I13</f>
        <v/>
      </c>
      <c r="J14" s="7">
        <f>Assumptions!J13</f>
        <v/>
      </c>
    </row>
    <row r="15">
      <c r="A15" s="3" t="inlineStr">
        <is>
          <t>One-off committed bills</t>
        </is>
      </c>
      <c r="B15" s="7">
        <f>Assumptions!B14</f>
        <v/>
      </c>
      <c r="C15" s="7">
        <f>Assumptions!C14</f>
        <v/>
      </c>
      <c r="D15" s="7">
        <f>Assumptions!D14</f>
        <v/>
      </c>
      <c r="E15" s="7">
        <f>Assumptions!E14</f>
        <v/>
      </c>
      <c r="F15" s="7">
        <f>Assumptions!F14</f>
        <v/>
      </c>
      <c r="G15" s="7">
        <f>Assumptions!G14</f>
        <v/>
      </c>
      <c r="H15" s="7">
        <f>Assumptions!H14</f>
        <v/>
      </c>
      <c r="I15" s="7">
        <f>Assumptions!I14</f>
        <v/>
      </c>
      <c r="J15" s="7">
        <f>Assumptions!J14</f>
        <v/>
      </c>
    </row>
    <row r="16">
      <c r="A16" s="3" t="inlineStr">
        <is>
          <t>Programme &amp; travel</t>
        </is>
      </c>
      <c r="B16" s="7">
        <f>Assumptions!$B$16</f>
        <v/>
      </c>
      <c r="C16" s="7">
        <f>Assumptions!$B$16</f>
        <v/>
      </c>
      <c r="D16" s="7">
        <f>Assumptions!$B$16</f>
        <v/>
      </c>
      <c r="E16" s="7">
        <f>Assumptions!$B$16</f>
        <v/>
      </c>
      <c r="F16" s="7">
        <f>Assumptions!$B$16</f>
        <v/>
      </c>
      <c r="G16" s="7">
        <f>Assumptions!$B$16</f>
        <v/>
      </c>
      <c r="H16" s="7">
        <f>Assumptions!$B$16</f>
        <v/>
      </c>
      <c r="I16" s="7">
        <f>Assumptions!$B$16</f>
        <v/>
      </c>
      <c r="J16" s="7">
        <f>Assumptions!$B$16</f>
        <v/>
      </c>
    </row>
    <row r="17">
      <c r="A17" s="8" t="inlineStr">
        <is>
          <t>Total cash out</t>
        </is>
      </c>
      <c r="B17" s="9">
        <f>SUM(B6:B16)</f>
        <v/>
      </c>
      <c r="C17" s="9">
        <f>SUM(C6:C16)</f>
        <v/>
      </c>
      <c r="D17" s="9">
        <f>SUM(D6:D16)</f>
        <v/>
      </c>
      <c r="E17" s="9">
        <f>SUM(E6:E16)</f>
        <v/>
      </c>
      <c r="F17" s="9">
        <f>SUM(F6:F16)</f>
        <v/>
      </c>
      <c r="G17" s="9">
        <f>SUM(G6:G16)</f>
        <v/>
      </c>
      <c r="H17" s="9">
        <f>SUM(H6:H16)</f>
        <v/>
      </c>
      <c r="I17" s="9">
        <f>SUM(I6:I16)</f>
        <v/>
      </c>
      <c r="J17" s="9">
        <f>SUM(J6:J16)</f>
        <v/>
      </c>
    </row>
    <row r="18">
      <c r="A18" s="3" t="inlineStr">
        <is>
          <t>FCDO Phase II claim Jun–Oct 2026 (Schedule 2, ind. Nov 2026)</t>
        </is>
      </c>
      <c r="B18" s="7">
        <f>Assumptions!B19</f>
        <v/>
      </c>
      <c r="C18" s="7">
        <f>Assumptions!C19</f>
        <v/>
      </c>
      <c r="D18" s="7">
        <f>Assumptions!D19</f>
        <v/>
      </c>
      <c r="E18" s="7">
        <f>Assumptions!E19</f>
        <v/>
      </c>
      <c r="F18" s="7">
        <f>Assumptions!F19</f>
        <v/>
      </c>
      <c r="G18" s="7">
        <f>Assumptions!G19</f>
        <v/>
      </c>
      <c r="H18" s="7">
        <f>Assumptions!H19</f>
        <v/>
      </c>
      <c r="I18" s="7">
        <f>Assumptions!I19</f>
        <v/>
      </c>
      <c r="J18" s="7">
        <f>Assumptions!J19</f>
        <v/>
      </c>
    </row>
    <row r="19">
      <c r="A19" s="3" t="inlineStr">
        <is>
          <t>OSF #4 Year-3 tranche (contract: January 2027)</t>
        </is>
      </c>
      <c r="B19" s="7">
        <f>Assumptions!B20</f>
        <v/>
      </c>
      <c r="C19" s="7">
        <f>Assumptions!C20</f>
        <v/>
      </c>
      <c r="D19" s="7">
        <f>Assumptions!D20</f>
        <v/>
      </c>
      <c r="E19" s="7">
        <f>Assumptions!E20</f>
        <v/>
      </c>
      <c r="F19" s="7">
        <f>Assumptions!F20</f>
        <v/>
      </c>
      <c r="G19" s="7">
        <f>Assumptions!G20</f>
        <v/>
      </c>
      <c r="H19" s="7">
        <f>Assumptions!H20</f>
        <v/>
      </c>
      <c r="I19" s="7">
        <f>Assumptions!I20</f>
        <v/>
      </c>
      <c r="J19" s="7">
        <f>Assumptions!J20</f>
        <v/>
      </c>
    </row>
    <row r="20">
      <c r="A20" s="3" t="inlineStr">
        <is>
          <t>Swiss Myanmar tranche 2 (§3.3: 31 Jan 2027)</t>
        </is>
      </c>
      <c r="B20" s="7">
        <f>Assumptions!B21</f>
        <v/>
      </c>
      <c r="C20" s="7">
        <f>Assumptions!C21</f>
        <v/>
      </c>
      <c r="D20" s="7">
        <f>Assumptions!D21</f>
        <v/>
      </c>
      <c r="E20" s="7">
        <f>Assumptions!E21</f>
        <v/>
      </c>
      <c r="F20" s="7">
        <f>Assumptions!F21</f>
        <v/>
      </c>
      <c r="G20" s="7">
        <f>Assumptions!G21</f>
        <v/>
      </c>
      <c r="H20" s="7">
        <f>Assumptions!H21</f>
        <v/>
      </c>
      <c r="I20" s="7">
        <f>Assumptions!I21</f>
        <v/>
      </c>
      <c r="J20" s="7">
        <f>Assumptions!J21</f>
        <v/>
      </c>
    </row>
    <row r="21">
      <c r="A21" s="3" t="inlineStr">
        <is>
          <t>FCDO Phase II final claim Nov 26–Mar 27 (ind. May 2027)</t>
        </is>
      </c>
      <c r="B21" s="7">
        <f>Assumptions!B22</f>
        <v/>
      </c>
      <c r="C21" s="7">
        <f>Assumptions!C22</f>
        <v/>
      </c>
      <c r="D21" s="7">
        <f>Assumptions!D22</f>
        <v/>
      </c>
      <c r="E21" s="7">
        <f>Assumptions!E22</f>
        <v/>
      </c>
      <c r="F21" s="7">
        <f>Assumptions!F22</f>
        <v/>
      </c>
      <c r="G21" s="7">
        <f>Assumptions!G22</f>
        <v/>
      </c>
      <c r="H21" s="7">
        <f>Assumptions!H22</f>
        <v/>
      </c>
      <c r="I21" s="7">
        <f>Assumptions!I22</f>
        <v/>
      </c>
      <c r="J21" s="7">
        <f>Assumptions!J22</f>
        <v/>
      </c>
    </row>
    <row r="22">
      <c r="A22" s="3" t="inlineStr">
        <is>
          <t>Swiss Myanmar tranche 3 (§3.3: 30 Jun 2027)</t>
        </is>
      </c>
      <c r="B22" s="7">
        <f>Assumptions!B23</f>
        <v/>
      </c>
      <c r="C22" s="7">
        <f>Assumptions!C23</f>
        <v/>
      </c>
      <c r="D22" s="7">
        <f>Assumptions!D23</f>
        <v/>
      </c>
      <c r="E22" s="7">
        <f>Assumptions!E23</f>
        <v/>
      </c>
      <c r="F22" s="7">
        <f>Assumptions!F23</f>
        <v/>
      </c>
      <c r="G22" s="7">
        <f>Assumptions!G23</f>
        <v/>
      </c>
      <c r="H22" s="7">
        <f>Assumptions!H23</f>
        <v/>
      </c>
      <c r="I22" s="7">
        <f>Assumptions!I23</f>
        <v/>
      </c>
      <c r="J22" s="7">
        <f>Assumptions!J23</f>
        <v/>
      </c>
    </row>
    <row r="23">
      <c r="A23" s="8" t="inlineStr">
        <is>
          <t>Total cash in</t>
        </is>
      </c>
      <c r="B23" s="9">
        <f>SUM(B18:B22)</f>
        <v/>
      </c>
      <c r="C23" s="9">
        <f>SUM(C18:C22)</f>
        <v/>
      </c>
      <c r="D23" s="9">
        <f>SUM(D18:D22)</f>
        <v/>
      </c>
      <c r="E23" s="9">
        <f>SUM(E18:E22)</f>
        <v/>
      </c>
      <c r="F23" s="9">
        <f>SUM(F18:F22)</f>
        <v/>
      </c>
      <c r="G23" s="9">
        <f>SUM(G18:G22)</f>
        <v/>
      </c>
      <c r="H23" s="9">
        <f>SUM(H18:H22)</f>
        <v/>
      </c>
      <c r="I23" s="9">
        <f>SUM(I18:I22)</f>
        <v/>
      </c>
      <c r="J23" s="9">
        <f>SUM(J18:J22)</f>
        <v/>
      </c>
    </row>
    <row r="24">
      <c r="A24" s="19" t="inlineStr">
        <is>
          <t>Closing cash</t>
        </is>
      </c>
      <c r="B24" s="20">
        <f>B5+B23-B17</f>
        <v/>
      </c>
      <c r="C24" s="20">
        <f>C5+C23-C17</f>
        <v/>
      </c>
      <c r="D24" s="20">
        <f>D5+D23-D17</f>
        <v/>
      </c>
      <c r="E24" s="20">
        <f>E5+E23-E17</f>
        <v/>
      </c>
      <c r="F24" s="20">
        <f>F5+F23-F17</f>
        <v/>
      </c>
      <c r="G24" s="20">
        <f>G5+G23-G17</f>
        <v/>
      </c>
      <c r="H24" s="20">
        <f>H5+H23-H17</f>
        <v/>
      </c>
      <c r="I24" s="20">
        <f>I5+I23-I17</f>
        <v/>
      </c>
      <c r="J24" s="20">
        <f>J5+J23-J17</f>
        <v/>
      </c>
    </row>
  </sheetData>
  <conditionalFormatting sqref="B24:J24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Scenario month-end closing cash (USD)</t>
        </is>
      </c>
    </row>
    <row r="2">
      <c r="A2" s="5" t="inlineStr">
        <is>
          <t>Values from the build model, 12 Oct 2026</t>
        </is>
      </c>
    </row>
    <row r="4">
      <c r="A4" s="6" t="inlineStr">
        <is>
          <t>Scenario</t>
        </is>
      </c>
      <c r="B4" s="6" t="inlineStr">
        <is>
          <t>Oct 26</t>
        </is>
      </c>
      <c r="C4" s="6" t="inlineStr">
        <is>
          <t>Nov 26</t>
        </is>
      </c>
      <c r="D4" s="6" t="inlineStr">
        <is>
          <t>Dec 26</t>
        </is>
      </c>
      <c r="E4" s="6" t="inlineStr">
        <is>
          <t>Jan 27</t>
        </is>
      </c>
      <c r="F4" s="6" t="inlineStr">
        <is>
          <t>Feb 27</t>
        </is>
      </c>
      <c r="G4" s="6" t="inlineStr">
        <is>
          <t>Mar 27</t>
        </is>
      </c>
      <c r="H4" s="6" t="inlineStr">
        <is>
          <t>Apr 27</t>
        </is>
      </c>
      <c r="I4" s="6" t="inlineStr">
        <is>
          <t>May 27</t>
        </is>
      </c>
      <c r="J4" s="6" t="inlineStr">
        <is>
          <t>Jun 27</t>
        </is>
      </c>
    </row>
    <row r="5">
      <c r="A5" s="3" t="inlineStr">
        <is>
          <t>A. Central</t>
        </is>
      </c>
      <c r="B5" s="7" t="n">
        <v>-6101</v>
      </c>
      <c r="C5" s="7" t="n">
        <v>13202</v>
      </c>
      <c r="D5" s="7" t="n">
        <v>-21230</v>
      </c>
      <c r="E5" s="7" t="n">
        <v>269219</v>
      </c>
      <c r="F5" s="7" t="n">
        <v>234722</v>
      </c>
      <c r="G5" s="7" t="n">
        <v>200225</v>
      </c>
      <c r="H5" s="7" t="n">
        <v>162728</v>
      </c>
      <c r="I5" s="7" t="n">
        <v>175230</v>
      </c>
      <c r="J5" s="7" t="n">
        <v>168180</v>
      </c>
    </row>
    <row r="6">
      <c r="A6" s="3" t="inlineStr">
        <is>
          <t>B. Freeze (committed only)</t>
        </is>
      </c>
      <c r="B6" s="7" t="n">
        <v>-1101</v>
      </c>
      <c r="C6" s="7" t="n">
        <v>23202</v>
      </c>
      <c r="D6" s="7" t="n">
        <v>-6230</v>
      </c>
      <c r="E6" s="7" t="n">
        <v>289219</v>
      </c>
      <c r="F6" s="7" t="n">
        <v>259722</v>
      </c>
      <c r="G6" s="7" t="n">
        <v>230225</v>
      </c>
      <c r="H6" s="7" t="n">
        <v>197728</v>
      </c>
      <c r="I6" s="7" t="n">
        <v>215230</v>
      </c>
      <c r="J6" s="7" t="n">
        <v>213180</v>
      </c>
    </row>
    <row r="7">
      <c r="A7" s="3" t="inlineStr">
        <is>
          <t>C. Q3 run-rate continues</t>
        </is>
      </c>
      <c r="B7" s="7" t="n">
        <v>-11737</v>
      </c>
      <c r="C7" s="7" t="n">
        <v>1930</v>
      </c>
      <c r="D7" s="7" t="n">
        <v>-38138</v>
      </c>
      <c r="E7" s="7" t="n">
        <v>246675</v>
      </c>
      <c r="F7" s="7" t="n">
        <v>206542</v>
      </c>
      <c r="G7" s="7" t="n">
        <v>166409</v>
      </c>
      <c r="H7" s="7" t="n">
        <v>123276</v>
      </c>
      <c r="I7" s="7" t="n">
        <v>130142</v>
      </c>
      <c r="J7" s="7" t="n">
        <v>117456</v>
      </c>
    </row>
    <row r="8">
      <c r="A8" s="3" t="inlineStr">
        <is>
          <t>D. Central, FCDO claim slips to Jan 27</t>
        </is>
      </c>
      <c r="B8" s="7" t="n">
        <v>-6101</v>
      </c>
      <c r="C8" s="7" t="n">
        <v>-39598</v>
      </c>
      <c r="D8" s="7" t="n">
        <v>-74030</v>
      </c>
      <c r="E8" s="7" t="n">
        <v>269219</v>
      </c>
      <c r="F8" s="7" t="n">
        <v>234722</v>
      </c>
      <c r="G8" s="7" t="n">
        <v>200225</v>
      </c>
      <c r="H8" s="7" t="n">
        <v>162728</v>
      </c>
      <c r="I8" s="7" t="n">
        <v>175230</v>
      </c>
      <c r="J8" s="7" t="n">
        <v>168180</v>
      </c>
    </row>
    <row r="9">
      <c r="A9" s="3" t="inlineStr">
        <is>
          <t>E. Central + OSF released early Dec 26</t>
        </is>
      </c>
      <c r="B9" s="7" t="n">
        <v>-6101</v>
      </c>
      <c r="C9" s="7" t="n">
        <v>13202</v>
      </c>
      <c r="D9" s="7" t="n">
        <v>278770</v>
      </c>
      <c r="E9" s="7" t="n">
        <v>269219</v>
      </c>
      <c r="F9" s="7" t="n">
        <v>234722</v>
      </c>
      <c r="G9" s="7" t="n">
        <v>200225</v>
      </c>
      <c r="H9" s="7" t="n">
        <v>162728</v>
      </c>
      <c r="I9" s="7" t="n">
        <v>175230</v>
      </c>
      <c r="J9" s="7" t="n">
        <v>168180</v>
      </c>
    </row>
    <row r="10">
      <c r="A10" s="3" t="inlineStr">
        <is>
          <t>F. Central + Swiss T2 pulled to Dec 26</t>
        </is>
      </c>
      <c r="B10" s="7" t="n">
        <v>-6101</v>
      </c>
      <c r="C10" s="7" t="n">
        <v>13202</v>
      </c>
      <c r="D10" s="7" t="n">
        <v>3717</v>
      </c>
      <c r="E10" s="7" t="n">
        <v>269219</v>
      </c>
      <c r="F10" s="7" t="n">
        <v>234722</v>
      </c>
      <c r="G10" s="7" t="n">
        <v>200225</v>
      </c>
      <c r="H10" s="7" t="n">
        <v>162728</v>
      </c>
      <c r="I10" s="7" t="n">
        <v>175230</v>
      </c>
      <c r="J10" s="7" t="n">
        <v>168180</v>
      </c>
    </row>
  </sheetData>
  <conditionalFormatting sqref="B5:J1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6" customWidth="1" min="4" max="4"/>
    <col width="14" customWidth="1" min="5" max="5"/>
    <col width="50" customWidth="1" min="6" max="6"/>
  </cols>
  <sheetData>
    <row r="1">
      <c r="A1" s="4" t="inlineStr">
        <is>
          <t>Contract-to-Xero reconciliation</t>
        </is>
      </c>
    </row>
    <row r="2">
      <c r="A2" s="5" t="inlineStr">
        <is>
          <t>Contract currency in the Amount column</t>
        </is>
      </c>
    </row>
    <row r="4">
      <c r="A4" s="6" t="inlineStr">
        <is>
          <t>Contracted payment</t>
        </is>
      </c>
      <c r="B4" s="6" t="inlineStr">
        <is>
          <t>Due</t>
        </is>
      </c>
      <c r="C4" s="6" t="inlineStr">
        <is>
          <t>Amount (contract ccy)</t>
        </is>
      </c>
      <c r="D4" s="6" t="inlineStr">
        <is>
          <t>Xero ref</t>
        </is>
      </c>
      <c r="E4" s="6" t="inlineStr">
        <is>
          <t>Received (USD)</t>
        </is>
      </c>
      <c r="F4" s="6" t="inlineStr">
        <is>
          <t>Status</t>
        </is>
      </c>
    </row>
    <row r="5">
      <c r="A5" s="3" t="inlineStr">
        <is>
          <t>OSF #4 Y2</t>
        </is>
      </c>
      <c r="B5" s="3" t="inlineStr">
        <is>
          <t>Jan 2026</t>
        </is>
      </c>
      <c r="C5" s="3" t="inlineStr">
        <is>
          <t>USD 300,000.00</t>
        </is>
      </c>
      <c r="D5" s="3" t="inlineStr">
        <is>
          <t>bank 22 Jan 26</t>
        </is>
      </c>
      <c r="E5" s="3" t="inlineStr">
        <is>
          <t>300,000</t>
        </is>
      </c>
      <c r="F5" s="3" t="inlineStr">
        <is>
          <t>PAID</t>
        </is>
      </c>
    </row>
    <row r="6">
      <c r="A6" s="3" t="inlineStr">
        <is>
          <t>FCDO II claim 1</t>
        </is>
      </c>
      <c r="B6" s="3" t="inlineStr">
        <is>
          <t>16 Oct report → ind. Nov 2026</t>
        </is>
      </c>
      <c r="C6" s="3" t="inlineStr">
        <is>
          <t>GBP — reported expenses</t>
        </is>
      </c>
      <c r="D6" s="3" t="inlineStr">
        <is>
          <t>USD 54,017</t>
        </is>
      </c>
      <c r="E6" s="3" t="inlineStr">
        <is>
          <t>—</t>
        </is>
      </c>
      <c r="F6" s="3" t="inlineStr"/>
    </row>
    <row r="7">
      <c r="A7" s="3" t="inlineStr">
        <is>
          <t>FCDO II claim 2</t>
        </is>
      </c>
      <c r="B7" s="3" t="inlineStr">
        <is>
          <t>30 Apr 2027 → ind. May 2027</t>
        </is>
      </c>
      <c r="C7" s="3" t="inlineStr">
        <is>
          <t>GBP — reported expenses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Within £80,884.70 ceiling (cl. 6.1)</t>
        </is>
      </c>
    </row>
    <row r="8">
      <c r="A8" s="3" t="inlineStr">
        <is>
          <t>Swiss Myanmar T1</t>
        </is>
      </c>
      <c r="B8" s="3" t="inlineStr">
        <is>
          <t>30 Jun 2026</t>
        </is>
      </c>
      <c r="C8" s="3" t="inlineStr">
        <is>
          <t>USD 24,946.67</t>
        </is>
      </c>
      <c r="D8" s="3" t="inlineStr">
        <is>
          <t>INV-0010</t>
        </is>
      </c>
      <c r="E8" s="3" t="inlineStr">
        <is>
          <t>24,946.00</t>
        </is>
      </c>
      <c r="F8" s="3" t="inlineStr">
        <is>
          <t>PAID 10 Jul</t>
        </is>
      </c>
    </row>
    <row r="9">
      <c r="A9" s="3" t="inlineStr">
        <is>
          <t>Swiss Myanmar T2</t>
        </is>
      </c>
      <c r="B9" s="3" t="inlineStr">
        <is>
          <t>31 Jan 2027</t>
        </is>
      </c>
      <c r="C9" s="3" t="inlineStr">
        <is>
          <t>USD 24,946.67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Gated: invoice + FDFA funds; Stimson indicated Dec 2026</t>
        </is>
      </c>
    </row>
    <row r="10">
      <c r="A10" s="3" t="inlineStr">
        <is>
          <t>Swiss Myanmar T3</t>
        </is>
      </c>
      <c r="B10" s="3" t="inlineStr">
        <is>
          <t>30 Jun 2027</t>
        </is>
      </c>
      <c r="C10" s="3" t="inlineStr">
        <is>
          <t>USD 24,946.66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Gated as T2</t>
        </is>
      </c>
    </row>
    <row r="11">
      <c r="A11" s="3" t="inlineStr">
        <is>
          <t>SDC (closed) T1–T3</t>
        </is>
      </c>
      <c r="B11" s="3" t="inlineStr">
        <is>
          <t>Nov 24 / Aug 25 / after final report</t>
        </is>
      </c>
      <c r="C11" s="3" t="inlineStr">
        <is>
          <t>CHF 182,788.10</t>
        </is>
      </c>
      <c r="D11" s="3" t="inlineStr">
        <is>
          <t>INV-0005/6/11</t>
        </is>
      </c>
      <c r="E11" s="3" t="inlineStr">
        <is>
          <t>221,668.08</t>
        </is>
      </c>
      <c r="F11" s="3" t="inlineStr">
        <is>
          <t>FULLY DRAWN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Sources</t>
        </is>
      </c>
    </row>
    <row r="2">
      <c r="A2" s="5" t="inlineStr"/>
    </row>
    <row r="4">
      <c r="A4" s="3" t="inlineStr">
        <is>
          <t>Xero P&amp;L Q3 2026 — 64172c20-ed61-46f3-9b5d-77406b0ae5d9</t>
        </is>
      </c>
    </row>
    <row r="5">
      <c r="A5" s="3" t="inlineStr">
        <is>
          <t>Xero P&amp;L YTD 2026 — 9aa8308a-7cab-41fb-8541-d6b452021fd7</t>
        </is>
      </c>
    </row>
    <row r="6">
      <c r="A6" s="3" t="inlineStr">
        <is>
          <t>Xero P&amp;L by quarter — 16b22d31-27b6-4f0e-80eb-d39cac34a238</t>
        </is>
      </c>
    </row>
    <row r="7">
      <c r="A7" s="3" t="inlineStr">
        <is>
          <t>Xero P&amp;L Q2 direct (Donors) — 3aeb792c-3bc8-47d6-be9b-eeba99c00d1e</t>
        </is>
      </c>
    </row>
    <row r="8">
      <c r="A8" s="3" t="inlineStr">
        <is>
          <t>Xero P&amp;L by Donors YTD — 13b97ef5-027d-4984-af8c-50616727cf97</t>
        </is>
      </c>
    </row>
    <row r="9">
      <c r="A9" s="3" t="inlineStr">
        <is>
          <t>Xero P&amp;L by Donors Q3 — 7d6a8730-9816-4408-a7c7-a85669c0b742</t>
        </is>
      </c>
    </row>
    <row r="10">
      <c r="A10" s="3" t="inlineStr">
        <is>
          <t>Xero Balance Sheet 30 Sep / 30 Jun — 052baafa-a222-4e25-9853-eb0c4c9668ef</t>
        </is>
      </c>
    </row>
    <row r="11">
      <c r="A11" s="3" t="inlineStr">
        <is>
          <t>Xero Balance Sheet 31 Dec 2025 — cfaec7b2-db33-46e2-ae1b-0ddba2fb0304</t>
        </is>
      </c>
    </row>
    <row r="12">
      <c r="A12" s="3" t="inlineStr">
        <is>
          <t>Xero Bank Summary Q3 — 6d5984f7-e1f8-4989-ad4b-385df2de97fa</t>
        </is>
      </c>
    </row>
    <row r="13">
      <c r="A13" s="3" t="inlineStr">
        <is>
          <t>Xero Bank Summary 1–12 Oct — f55f65a4-66de-4df1-8172-0d34425088fe</t>
        </is>
      </c>
    </row>
    <row r="14">
      <c r="A14" s="3" t="inlineStr">
        <is>
          <t>Xero repeating invoices — bd24128f; open ACCPAY — 911256c0; ACCREC — 85561f8e</t>
        </is>
      </c>
    </row>
    <row r="15">
      <c r="A15" s="3" t="inlineStr">
        <is>
          <t>Budgets: finance-docs/budgets/2026 Budget-2.xlsx (working 488,450); humanusGovernance/2026 Budget.xlsx (board 631,450)</t>
        </is>
      </c>
    </row>
    <row r="16">
      <c r="A16" s="3" t="inlineStr">
        <is>
          <t>Contracts: OSF OR2024-94840; FCDO II sub-grant 2026.06.24; Swiss Myanmar Partnership Agreement 2026.02.04; SDC 7F-03317.09.15 (scan)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2026-10-14T08:25:57Z</dcterms:created>
  <dcterms:modified xmlns:dcterms="http://purl.org/dc/terms/" xmlns:xsi="http://www.w3.org/2001/XMLSchema-instance" xsi:type="dcterms:W3CDTF">2026-10-14T08:25:57Z</dcterms:modified>
</cp:coreProperties>
</file>