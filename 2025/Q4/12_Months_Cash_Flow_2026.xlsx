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victimadvocatesintl.sharepoint.com/sites/VAIAdminandFinance2/3 Governance/3.1 Board of Directors/3.1.2 Board Meetings/2025/Q4/"/>
    </mc:Choice>
  </mc:AlternateContent>
  <xr:revisionPtr revIDLastSave="0" documentId="8_{FD230EA0-12A6-F34F-AE69-F79C2734048B}" xr6:coauthVersionLast="47" xr6:coauthVersionMax="47" xr10:uidLastSave="{00000000-0000-0000-0000-000000000000}"/>
  <bookViews>
    <workbookView xWindow="0" yWindow="760" windowWidth="29240" windowHeight="18360" xr2:uid="{C3D2FDC8-F1E7-7541-AE81-DA3A5D8FC3C1}"/>
  </bookViews>
  <sheets>
    <sheet name="Cash_Flow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Q22" i="1"/>
  <c r="P22" i="1"/>
  <c r="O22" i="1"/>
  <c r="N22" i="1"/>
  <c r="M22" i="1"/>
  <c r="L22" i="1"/>
  <c r="K22" i="1"/>
  <c r="J22" i="1"/>
  <c r="I22" i="1"/>
  <c r="H22" i="1"/>
  <c r="G22" i="1"/>
  <c r="E21" i="1"/>
  <c r="F21" i="1" s="1"/>
  <c r="E20" i="1"/>
  <c r="E19" i="1" s="1"/>
  <c r="Q19" i="1"/>
  <c r="P19" i="1"/>
  <c r="O19" i="1"/>
  <c r="N19" i="1"/>
  <c r="M19" i="1"/>
  <c r="L19" i="1"/>
  <c r="K19" i="1"/>
  <c r="J19" i="1"/>
  <c r="I19" i="1"/>
  <c r="H19" i="1"/>
  <c r="G19" i="1"/>
  <c r="E18" i="1"/>
  <c r="F18" i="1" s="1"/>
  <c r="E17" i="1"/>
  <c r="F17" i="1" s="1"/>
  <c r="E15" i="1"/>
  <c r="F15" i="1" s="1"/>
  <c r="E14" i="1"/>
  <c r="F14" i="1" s="1"/>
  <c r="D13" i="1"/>
  <c r="E13" i="1" s="1"/>
  <c r="E12" i="1"/>
  <c r="F12" i="1" s="1"/>
  <c r="Q11" i="1"/>
  <c r="P11" i="1"/>
  <c r="O11" i="1"/>
  <c r="N11" i="1"/>
  <c r="M11" i="1"/>
  <c r="L11" i="1"/>
  <c r="K11" i="1"/>
  <c r="J11" i="1"/>
  <c r="I11" i="1"/>
  <c r="H11" i="1"/>
  <c r="G11" i="1"/>
  <c r="E9" i="1"/>
  <c r="E8" i="1"/>
  <c r="F8" i="1" s="1"/>
  <c r="E7" i="1"/>
  <c r="E6" i="1" s="1"/>
  <c r="Q6" i="1"/>
  <c r="P6" i="1"/>
  <c r="O6" i="1"/>
  <c r="N6" i="1"/>
  <c r="M6" i="1"/>
  <c r="L6" i="1"/>
  <c r="K6" i="1"/>
  <c r="J6" i="1"/>
  <c r="I6" i="1"/>
  <c r="H6" i="1"/>
  <c r="G6" i="1"/>
  <c r="L5" i="1"/>
  <c r="G30" i="1" l="1"/>
  <c r="H30" i="1"/>
  <c r="I30" i="1"/>
  <c r="J30" i="1"/>
  <c r="K30" i="1"/>
  <c r="L30" i="1"/>
  <c r="M30" i="1"/>
  <c r="N30" i="1"/>
  <c r="O30" i="1"/>
  <c r="P30" i="1"/>
  <c r="Q30" i="1"/>
  <c r="F22" i="1"/>
  <c r="F13" i="1"/>
  <c r="F11" i="1" s="1"/>
  <c r="E11" i="1"/>
  <c r="F7" i="1"/>
  <c r="F6" i="1" s="1"/>
  <c r="E22" i="1"/>
  <c r="E30" i="1" s="1"/>
  <c r="F20" i="1"/>
  <c r="F19" i="1" s="1"/>
  <c r="F30" i="1" l="1"/>
  <c r="F31" i="1" s="1"/>
  <c r="G4" i="1" s="1"/>
  <c r="G31" i="1" s="1"/>
  <c r="H4" i="1" s="1"/>
  <c r="H31" i="1" s="1"/>
  <c r="I4" i="1" s="1"/>
  <c r="I31" i="1" s="1"/>
  <c r="J4" i="1" s="1"/>
  <c r="J31" i="1" s="1"/>
  <c r="K4" i="1" s="1"/>
  <c r="K31" i="1" s="1"/>
  <c r="L4" i="1" s="1"/>
  <c r="L31" i="1" s="1"/>
  <c r="M4" i="1" s="1"/>
  <c r="M31" i="1" s="1"/>
  <c r="N4" i="1" s="1"/>
  <c r="N31" i="1" s="1"/>
  <c r="O4" i="1" s="1"/>
  <c r="O31" i="1" s="1"/>
  <c r="P4" i="1" s="1"/>
  <c r="P31" i="1" s="1"/>
  <c r="Q4" i="1" s="1"/>
  <c r="Q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tc={8751DEDE-7C08-554A-8C08-189CCBF9B0E5}</author>
    <author>tc={435DBA34-77EA-734C-862F-6AFA54CB021D}</author>
    <author>tc={52541E44-69AC-6D47-A767-2666D7892654}</author>
    <author>tc={20724814-E17C-F347-85C4-03D63568EB49}</author>
    <author>tc={73170CE0-9C93-414E-B961-1F5B663212AE}</author>
  </authors>
  <commentList>
    <comment ref="F4" authorId="0" shapeId="0" xr:uid="{8751DEDE-7C08-554A-8C08-189CCBF9B0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Closing Cash/Bank Carry Forward Balance estimated as of 31-Dec-2025 / assuming no more grant is going to come in Nov &amp; Dec</t>
      </text>
    </comment>
    <comment ref="F5" authorId="1" shapeId="0" xr:uid="{435DBA34-77EA-734C-862F-6AFA54CB0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OSF Core / Operating Grant $300,000+ OSF Data base project  $100,000</t>
      </text>
    </comment>
    <comment ref="G5" authorId="2" shapeId="0" xr:uid="{52541E44-69AC-6D47-A767-2666D7892654}">
      <text>
        <t>[Threaded comment]
Your version of Excel allows you to read this threaded comment; however, any edits to it will get removed if the file is opened in a newer version of Excel. Learn more: https://go.microsoft.com/fwlink/?linkid=870924
Comment:
    FCDO Budget / VAI Share $58,000 from Nov'25 to Mar'26 (5 months)</t>
      </text>
    </comment>
    <comment ref="H5" authorId="3" shapeId="0" xr:uid="{20724814-E17C-F347-85C4-03D63568EB49}">
      <text>
        <t>[Threaded comment]
Your version of Excel allows you to read this threaded comment; however, any edits to it will get removed if the file is opened in a newer version of Excel. Learn more: https://go.microsoft.com/fwlink/?linkid=870924
Comment:
    SWISS Myanmar / 17 months project (Nov'25 to Mar'27), proportionately income considered here $52,800</t>
      </text>
    </comment>
    <comment ref="L5" authorId="4" shapeId="0" xr:uid="{73170CE0-9C93-414E-B961-1F5B663212AE}">
      <text>
        <t>[Threaded comment]
Your version of Excel allows you to read this threaded comment; however, any edits to it will get removed if the file is opened in a newer version of Excel. Learn more: https://go.microsoft.com/fwlink/?linkid=870924
Comment:
    SWISS Last Instalment / CHF 22788 x $1.24 USD / 11 Nov 2025</t>
      </text>
    </comment>
  </commentList>
</comments>
</file>

<file path=xl/sharedStrings.xml><?xml version="1.0" encoding="utf-8"?>
<sst xmlns="http://schemas.openxmlformats.org/spreadsheetml/2006/main" count="61" uniqueCount="46">
  <si>
    <t>2026 Budget</t>
  </si>
  <si>
    <t>2026 (12 Months Cash Flow)</t>
  </si>
  <si>
    <t>Unit</t>
  </si>
  <si>
    <t>Number</t>
  </si>
  <si>
    <t>Amount</t>
  </si>
  <si>
    <t>Total (USD)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</si>
  <si>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</si>
  <si>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</si>
  <si>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</si>
  <si>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</si>
  <si>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</si>
  <si>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</si>
  <si>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</si>
  <si>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</si>
  <si>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</si>
  <si>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</si>
  <si>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</si>
  <si>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</si>
  <si>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Opening Cash Balance</t>
  </si>
  <si>
    <t>Grant Income (Committed)</t>
  </si>
  <si>
    <t>Senior Management</t>
  </si>
  <si>
    <t>Executive Director</t>
  </si>
  <si>
    <t>month</t>
  </si>
  <si>
    <t>COLA</t>
  </si>
  <si>
    <t>Rohingya Accountability Programme</t>
  </si>
  <si>
    <t>Programme Manager</t>
  </si>
  <si>
    <t>Project Manager</t>
  </si>
  <si>
    <t>Volunteer Stipends</t>
  </si>
  <si>
    <t>Vehicle Hire &amp; Sundry</t>
  </si>
  <si>
    <t>Rohingya India</t>
  </si>
  <si>
    <t>Partner Expenses (Azadi Project)</t>
  </si>
  <si>
    <t>lumpsum</t>
  </si>
  <si>
    <t>Lawyer Fees</t>
  </si>
  <si>
    <t>Communications</t>
  </si>
  <si>
    <t>Communications Advisor</t>
  </si>
  <si>
    <t>Communication Support</t>
  </si>
  <si>
    <t>Finance &amp; Operations</t>
  </si>
  <si>
    <t>Finance Manager</t>
  </si>
  <si>
    <t>Operations Support</t>
  </si>
  <si>
    <t>Audit</t>
  </si>
  <si>
    <t>Board Meetings</t>
  </si>
  <si>
    <t>Technology &amp; Software</t>
  </si>
  <si>
    <t>Travel Expenses</t>
  </si>
  <si>
    <t>Fees</t>
  </si>
  <si>
    <t>Total</t>
  </si>
  <si>
    <t>Monthly Cash Flow Closing Balance carry forward to next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</si>
</sst>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Fagun Book"/>
    </font>
    <font>
      <sz val="12"/>
      <color rgb="FF96FF14"/>
      <name val="Fagun Medium"/>
    </font>
    <font>
      <b/>
      <sz val="12"/>
      <color theme="1"/>
      <name val="Fagun Book"/>
    </font>
    <font>
      <b/>
      <sz val="12"/>
      <color theme="0"/>
      <name val="Fagun Book"/>
    </font>
    <font>
      <sz val="12"/>
      <color rgb="FFFF0000"/>
      <name val="Fagun Medium"/>
    </font>
    <font>
      <b/>
      <sz val="12"/>
      <color rgb="FFFF0000"/>
      <name val="Fagun Book"/>
    </font>
    <font>
      <sz val="12"/>
      <color theme="0"/>
      <name val="Fagun Book"/>
    </font>
  </fonts>
  <fills count="4">
    <fill>
      <patternFill patternType="none"/>
    </fill>
    <fill>
      <patternFill patternType="gray125"/>
    </fill>
    <fill>
      <patternFill patternType="solid">
        <fgColor rgb="FF410F37"/>
        <bgColor indexed="64"/>
      </patternFill>
    </fill>
    <fill>
      <patternFill patternType="solid">
        <fgColor rgb="FFE12D64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9" xfId="1" applyNumberFormat="1" applyFont="1" applyBorder="1" applyAlignment="1">
      <alignment horizontal="center"/>
    </xf>
    <xf numFmtId="164" fontId="4" fillId="0" borderId="10" xfId="1" applyNumberFormat="1" applyFont="1" applyBorder="1" applyAlignment="1">
      <alignment horizontal="center"/>
    </xf>
    <xf numFmtId="164" fontId="4" fillId="0" borderId="11" xfId="1" applyNumberFormat="1" applyFont="1" applyBorder="1" applyAlignment="1">
      <alignment horizontal="center"/>
    </xf>
    <xf numFmtId="0" fontId="4" fillId="0" borderId="0" xfId="0" applyFont="1"/>
    <xf numFmtId="0" fontId="3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/>
    <xf numFmtId="0" fontId="5" fillId="2" borderId="8" xfId="0" applyFont="1" applyFill="1" applyBorder="1"/>
    <xf numFmtId="164" fontId="3" fillId="2" borderId="6" xfId="1" applyNumberFormat="1" applyFont="1" applyFill="1" applyBorder="1" applyAlignment="1">
      <alignment horizontal="left" vertical="center" wrapText="1"/>
    </xf>
    <xf numFmtId="164" fontId="3" fillId="2" borderId="7" xfId="1" applyNumberFormat="1" applyFont="1" applyFill="1" applyBorder="1" applyAlignment="1">
      <alignment horizontal="left" vertical="center" wrapText="1"/>
    </xf>
    <xf numFmtId="164" fontId="3" fillId="2" borderId="12" xfId="1" applyNumberFormat="1" applyFont="1" applyFill="1" applyBorder="1" applyAlignment="1">
      <alignment horizontal="left" vertical="center" wrapText="1"/>
    </xf>
    <xf numFmtId="0" fontId="5" fillId="2" borderId="0" xfId="0" applyFont="1" applyFill="1"/>
    <xf numFmtId="0" fontId="6" fillId="0" borderId="6" xfId="0" applyFont="1" applyBorder="1" applyAlignment="1">
      <alignment horizontal="left" vertical="center" wrapText="1"/>
    </xf>
    <xf numFmtId="0" fontId="7" fillId="0" borderId="7" xfId="0" applyFont="1" applyBorder="1"/>
    <xf numFmtId="0" fontId="7" fillId="0" borderId="8" xfId="0" applyFont="1" applyBorder="1"/>
    <xf numFmtId="164" fontId="6" fillId="0" borderId="6" xfId="1" applyNumberFormat="1" applyFont="1" applyFill="1" applyBorder="1" applyAlignment="1">
      <alignment horizontal="left" vertical="center" wrapText="1"/>
    </xf>
    <xf numFmtId="164" fontId="6" fillId="0" borderId="7" xfId="1" applyNumberFormat="1" applyFont="1" applyFill="1" applyBorder="1" applyAlignment="1">
      <alignment horizontal="left" vertical="center" wrapText="1"/>
    </xf>
    <xf numFmtId="164" fontId="6" fillId="0" borderId="12" xfId="1" applyNumberFormat="1" applyFont="1" applyFill="1" applyBorder="1" applyAlignment="1">
      <alignment horizontal="left" vertical="center" wrapText="1"/>
    </xf>
    <xf numFmtId="0" fontId="5" fillId="2" borderId="6" xfId="0" applyFont="1" applyFill="1" applyBorder="1"/>
    <xf numFmtId="0" fontId="5" fillId="2" borderId="12" xfId="0" applyFont="1" applyFill="1" applyBorder="1"/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3" fontId="2" fillId="0" borderId="7" xfId="0" applyNumberFormat="1" applyFont="1" applyBorder="1"/>
    <xf numFmtId="3" fontId="2" fillId="0" borderId="8" xfId="0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64" fontId="2" fillId="0" borderId="12" xfId="1" applyNumberFormat="1" applyFont="1" applyBorder="1"/>
    <xf numFmtId="0" fontId="8" fillId="2" borderId="7" xfId="0" applyFont="1" applyFill="1" applyBorder="1" applyAlignment="1">
      <alignment horizontal="center" vertical="center"/>
    </xf>
    <xf numFmtId="3" fontId="8" fillId="2" borderId="7" xfId="0" applyNumberFormat="1" applyFont="1" applyFill="1" applyBorder="1"/>
    <xf numFmtId="3" fontId="5" fillId="2" borderId="8" xfId="0" applyNumberFormat="1" applyFont="1" applyFill="1" applyBorder="1"/>
    <xf numFmtId="3" fontId="5" fillId="2" borderId="6" xfId="0" applyNumberFormat="1" applyFont="1" applyFill="1" applyBorder="1"/>
    <xf numFmtId="3" fontId="5" fillId="2" borderId="7" xfId="0" applyNumberFormat="1" applyFont="1" applyFill="1" applyBorder="1"/>
    <xf numFmtId="3" fontId="5" fillId="2" borderId="12" xfId="0" applyNumberFormat="1" applyFont="1" applyFill="1" applyBorder="1"/>
    <xf numFmtId="0" fontId="8" fillId="2" borderId="0" xfId="0" applyFont="1" applyFill="1"/>
    <xf numFmtId="0" fontId="8" fillId="3" borderId="6" xfId="0" applyFont="1" applyFill="1" applyBorder="1"/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/>
    <xf numFmtId="0" fontId="8" fillId="3" borderId="8" xfId="0" applyFont="1" applyFill="1" applyBorder="1"/>
    <xf numFmtId="164" fontId="8" fillId="3" borderId="6" xfId="1" applyNumberFormat="1" applyFont="1" applyFill="1" applyBorder="1"/>
    <xf numFmtId="164" fontId="8" fillId="3" borderId="7" xfId="1" applyNumberFormat="1" applyFont="1" applyFill="1" applyBorder="1"/>
    <xf numFmtId="164" fontId="8" fillId="3" borderId="12" xfId="1" applyNumberFormat="1" applyFont="1" applyFill="1" applyBorder="1"/>
    <xf numFmtId="0" fontId="8" fillId="3" borderId="0" xfId="0" applyFont="1" applyFill="1"/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/>
    <xf numFmtId="0" fontId="5" fillId="2" borderId="14" xfId="0" applyFont="1" applyFill="1" applyBorder="1" applyAlignment="1">
      <alignment horizontal="center" vertical="center"/>
    </xf>
    <xf numFmtId="3" fontId="5" fillId="2" borderId="14" xfId="0" applyNumberFormat="1" applyFont="1" applyFill="1" applyBorder="1"/>
    <xf numFmtId="3" fontId="5" fillId="2" borderId="15" xfId="0" applyNumberFormat="1" applyFont="1" applyFill="1" applyBorder="1"/>
    <xf numFmtId="0" fontId="3" fillId="2" borderId="10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/>
    </xf>
    <xf numFmtId="3" fontId="5" fillId="2" borderId="10" xfId="0" applyNumberFormat="1" applyFont="1" applyFill="1" applyBorder="1"/>
    <xf numFmtId="3" fontId="5" fillId="2" borderId="16" xfId="0" applyNumberFormat="1" applyFont="1" applyFill="1" applyBorder="1"/>
    <xf numFmtId="164" fontId="3" fillId="2" borderId="13" xfId="1" applyNumberFormat="1" applyFont="1" applyFill="1" applyBorder="1" applyAlignment="1">
      <alignment horizontal="left" vertical="center" wrapText="1"/>
    </xf>
    <xf numFmtId="164" fontId="3" fillId="2" borderId="14" xfId="1" applyNumberFormat="1" applyFont="1" applyFill="1" applyBorder="1" applyAlignment="1">
      <alignment horizontal="left" vertical="center" wrapText="1"/>
    </xf>
    <xf numFmtId="164" fontId="3" fillId="2" borderId="17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K Das" id="{F761C325-6614-4A40-9EEF-AFC520E45811}" userId="159fd86486bd65a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5-11-11T09:31:43.75" personId="{F761C325-6614-4A40-9EEF-AFC520E45811}" id="{8751DEDE-7C08-554A-8C08-189CCBF9B0E5}">
    <text>Closing Cash/Bank Carry Forward Balance estimated as of 31-Dec-2025 / assuming no more grant is going to come in Nov &amp; Dec</text>
  </threadedComment>
  <threadedComment ref="F5" dT="2025-11-11T08:08:27.49" personId="{F761C325-6614-4A40-9EEF-AFC520E45811}" id="{435DBA34-77EA-734C-862F-6AFA54CB021D}">
    <text>OSF Core / Operating Grant $300,000+ OSF Data base project  $100,000</text>
  </threadedComment>
  <threadedComment ref="G5" dT="2025-11-11T08:59:19.19" personId="{F761C325-6614-4A40-9EEF-AFC520E45811}" id="{52541E44-69AC-6D47-A767-2666D7892654}">
    <text>FCDO Budget / VAI Share $58,000 from Nov'25 to Mar'26 (5 months)</text>
  </threadedComment>
  <threadedComment ref="H5" dT="2025-11-11T09:26:18.12" personId="{F761C325-6614-4A40-9EEF-AFC520E45811}" id="{20724814-E17C-F347-85C4-03D63568EB49}">
    <text>SWISS Myanmar / 17 months project (Nov'25 to Mar'27), proportionately income considered here $52,800</text>
  </threadedComment>
  <threadedComment ref="L5" dT="2025-11-11T08:35:34.17" personId="{F761C325-6614-4A40-9EEF-AFC520E45811}" id="{73170CE0-9C93-414E-B961-1F5B663212AE}">
    <text>SWISS Last Instalment / CHF 22788 x $1.24 USD / 11 Nov 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CBFC-B33B-394C-A451-056C82510CA0}">
  <dimension ref="A1:Q34"/>
  <sheetViews>
    <sheetView tabSelected="1" workbookViewId="0">
      <pane xSplit="1" topLeftCell="B1" activePane="topRight" state="frozen"/>
      <selection pane="topRight" activeCell="E15" sqref="E15"/>
    </sheetView>
  </sheetViews>
  <sheetFormatPr baseColWidth="10" defaultColWidth="10.83203125" defaultRowHeight="17" x14ac:dyDescent="0.2"/>
  <cols>
    <col min="1" max="1" width="35.6640625" style="1" customWidth="1"/>
    <col min="2" max="3" width="10.83203125" style="2"/>
    <col min="4" max="4" width="10.83203125" style="1"/>
    <col min="5" max="5" width="22" style="1" customWidth="1"/>
    <col min="6" max="17" width="11.5" style="3" bestFit="1" customWidth="1"/>
    <col min="18" max="16384" width="10.83203125" style="1"/>
  </cols>
  <sheetData>
    <row r="1" spans="1:17" ht="18" thickBot="1" x14ac:dyDescent="0.25"/>
    <row r="2" spans="1:17" s="4" customFormat="1" ht="57" customHeight="1" thickBot="1" x14ac:dyDescent="0.25">
      <c r="A2" s="63" t="s">
        <v>0</v>
      </c>
      <c r="B2" s="64"/>
      <c r="C2" s="64"/>
      <c r="D2" s="64"/>
      <c r="E2" s="64"/>
      <c r="F2" s="65" t="s">
        <v>1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17" s="12" customFormat="1" x14ac:dyDescent="0.2">
      <c r="A3" s="5"/>
      <c r="B3" s="6" t="s">
        <v>2</v>
      </c>
      <c r="C3" s="6" t="s">
        <v>3</v>
      </c>
      <c r="D3" s="7" t="s">
        <v>4</v>
      </c>
      <c r="E3" s="8" t="s">
        <v>5</v>
      </c>
      <c r="F3" s="9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1" t="s">
        <v>17</v>
      </c>
    </row>
    <row r="4" spans="1:17" s="19" customFormat="1" x14ac:dyDescent="0.2">
      <c r="A4" s="13" t="s">
        <v>18</v>
      </c>
      <c r="B4" s="14"/>
      <c r="C4" s="14"/>
      <c r="D4" s="14"/>
      <c r="E4" s="15"/>
      <c r="F4" s="16">
        <v>5000</v>
      </c>
      <c r="G4" s="17">
        <f>F31</f>
        <v>262379.16666666669</v>
      </c>
      <c r="H4" s="17">
        <f t="shared" ref="H4:Q4" si="0">G31</f>
        <v>277758.33333333337</v>
      </c>
      <c r="I4" s="17">
        <f t="shared" si="0"/>
        <v>287937.50000000006</v>
      </c>
      <c r="J4" s="17">
        <f t="shared" si="0"/>
        <v>245316.66666666672</v>
      </c>
      <c r="K4" s="17">
        <f t="shared" si="0"/>
        <v>202695.83333333337</v>
      </c>
      <c r="L4" s="17">
        <f t="shared" si="0"/>
        <v>160075.00000000003</v>
      </c>
      <c r="M4" s="17">
        <f t="shared" si="0"/>
        <v>145711.28666666668</v>
      </c>
      <c r="N4" s="17">
        <f t="shared" si="0"/>
        <v>103090.45333333334</v>
      </c>
      <c r="O4" s="17">
        <f t="shared" si="0"/>
        <v>60469.62</v>
      </c>
      <c r="P4" s="17">
        <f t="shared" si="0"/>
        <v>17848.786666666667</v>
      </c>
      <c r="Q4" s="18">
        <f t="shared" si="0"/>
        <v>-24772.046666666669</v>
      </c>
    </row>
    <row r="5" spans="1:17" s="19" customFormat="1" x14ac:dyDescent="0.2">
      <c r="A5" s="20" t="s">
        <v>19</v>
      </c>
      <c r="B5" s="21"/>
      <c r="C5" s="21"/>
      <c r="D5" s="21"/>
      <c r="E5" s="22"/>
      <c r="F5" s="23">
        <f>300000</f>
        <v>300000</v>
      </c>
      <c r="G5" s="24">
        <v>58000</v>
      </c>
      <c r="H5" s="24">
        <v>52800</v>
      </c>
      <c r="I5" s="24"/>
      <c r="J5" s="24"/>
      <c r="K5" s="24"/>
      <c r="L5" s="24">
        <f>22788*1.24</f>
        <v>28257.119999999999</v>
      </c>
      <c r="M5" s="24"/>
      <c r="N5" s="24"/>
      <c r="O5" s="24"/>
      <c r="P5" s="24"/>
      <c r="Q5" s="25"/>
    </row>
    <row r="6" spans="1:17" s="19" customFormat="1" x14ac:dyDescent="0.2">
      <c r="A6" s="26" t="s">
        <v>20</v>
      </c>
      <c r="B6" s="14"/>
      <c r="C6" s="14"/>
      <c r="D6" s="14"/>
      <c r="E6" s="15">
        <f>SUM(E7:E10)</f>
        <v>192000</v>
      </c>
      <c r="F6" s="26">
        <f>SUM(F7:F10)</f>
        <v>16000</v>
      </c>
      <c r="G6" s="14">
        <f>SUM(G7:G10)</f>
        <v>16000</v>
      </c>
      <c r="H6" s="14">
        <f>SUM(H7:H10)</f>
        <v>16000</v>
      </c>
      <c r="I6" s="14">
        <f>SUM(I7:I10)</f>
        <v>16000</v>
      </c>
      <c r="J6" s="14">
        <f>SUM(J7:J10)</f>
        <v>16000</v>
      </c>
      <c r="K6" s="14">
        <f>SUM(K7:K10)</f>
        <v>16000</v>
      </c>
      <c r="L6" s="14">
        <f>SUM(L7:L10)</f>
        <v>16000</v>
      </c>
      <c r="M6" s="14">
        <f>SUM(M7:M10)</f>
        <v>16000</v>
      </c>
      <c r="N6" s="14">
        <f>SUM(N7:N10)</f>
        <v>16000</v>
      </c>
      <c r="O6" s="14">
        <f>SUM(O7:O10)</f>
        <v>16000</v>
      </c>
      <c r="P6" s="14">
        <f>SUM(P7:P10)</f>
        <v>16000</v>
      </c>
      <c r="Q6" s="27">
        <f>SUM(Q7:Q10)</f>
        <v>16000</v>
      </c>
    </row>
    <row r="7" spans="1:17" x14ac:dyDescent="0.2">
      <c r="A7" s="28" t="s">
        <v>21</v>
      </c>
      <c r="B7" s="29" t="s">
        <v>22</v>
      </c>
      <c r="C7" s="29">
        <v>12</v>
      </c>
      <c r="D7" s="30">
        <v>14200</v>
      </c>
      <c r="E7" s="31">
        <f>C7*D7</f>
        <v>170400</v>
      </c>
      <c r="F7" s="32">
        <f>E7/12</f>
        <v>14200</v>
      </c>
      <c r="G7" s="33">
        <v>14200</v>
      </c>
      <c r="H7" s="33">
        <v>14200</v>
      </c>
      <c r="I7" s="33">
        <v>14200</v>
      </c>
      <c r="J7" s="33">
        <v>14200</v>
      </c>
      <c r="K7" s="33">
        <v>14200</v>
      </c>
      <c r="L7" s="33">
        <v>14200</v>
      </c>
      <c r="M7" s="33">
        <v>14200</v>
      </c>
      <c r="N7" s="33">
        <v>14200</v>
      </c>
      <c r="O7" s="33">
        <v>14200</v>
      </c>
      <c r="P7" s="33">
        <v>14200</v>
      </c>
      <c r="Q7" s="34">
        <v>14200</v>
      </c>
    </row>
    <row r="8" spans="1:17" x14ac:dyDescent="0.2">
      <c r="A8" s="28" t="s">
        <v>23</v>
      </c>
      <c r="B8" s="29" t="s">
        <v>22</v>
      </c>
      <c r="C8" s="29">
        <v>12</v>
      </c>
      <c r="D8" s="30">
        <v>1800</v>
      </c>
      <c r="E8" s="31">
        <f t="shared" ref="E8:E29" si="1">C8*D8</f>
        <v>21600</v>
      </c>
      <c r="F8" s="32">
        <f t="shared" ref="F8" si="2">E8/12</f>
        <v>1800</v>
      </c>
      <c r="G8" s="33">
        <v>1800</v>
      </c>
      <c r="H8" s="33">
        <v>1800</v>
      </c>
      <c r="I8" s="33">
        <v>1800</v>
      </c>
      <c r="J8" s="33">
        <v>1800</v>
      </c>
      <c r="K8" s="33">
        <v>1800</v>
      </c>
      <c r="L8" s="33">
        <v>1800</v>
      </c>
      <c r="M8" s="33">
        <v>1800</v>
      </c>
      <c r="N8" s="33">
        <v>1800</v>
      </c>
      <c r="O8" s="33">
        <v>1800</v>
      </c>
      <c r="P8" s="33">
        <v>1800</v>
      </c>
      <c r="Q8" s="34">
        <v>1800</v>
      </c>
    </row>
    <row r="9" spans="1:17" x14ac:dyDescent="0.2">
      <c r="A9" s="28"/>
      <c r="B9" s="29"/>
      <c r="C9" s="29"/>
      <c r="D9" s="30"/>
      <c r="E9" s="31">
        <f t="shared" si="1"/>
        <v>0</v>
      </c>
      <c r="F9" s="32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1:17" x14ac:dyDescent="0.2">
      <c r="A10" s="28"/>
      <c r="B10" s="29"/>
      <c r="C10" s="29"/>
      <c r="D10" s="30"/>
      <c r="E10" s="31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4"/>
    </row>
    <row r="11" spans="1:17" s="41" customFormat="1" x14ac:dyDescent="0.2">
      <c r="A11" s="26" t="s">
        <v>24</v>
      </c>
      <c r="B11" s="35"/>
      <c r="C11" s="35"/>
      <c r="D11" s="36"/>
      <c r="E11" s="37">
        <f>SUM(E12:E18)</f>
        <v>145250</v>
      </c>
      <c r="F11" s="38">
        <f t="shared" ref="F11:Q11" si="3">SUM(F12:F18)</f>
        <v>12104.166666666666</v>
      </c>
      <c r="G11" s="39">
        <f t="shared" si="3"/>
        <v>12104.166666666666</v>
      </c>
      <c r="H11" s="39">
        <f t="shared" si="3"/>
        <v>12104.166666666666</v>
      </c>
      <c r="I11" s="39">
        <f t="shared" si="3"/>
        <v>12104.166666666666</v>
      </c>
      <c r="J11" s="39">
        <f t="shared" si="3"/>
        <v>12104.166666666666</v>
      </c>
      <c r="K11" s="39">
        <f t="shared" si="3"/>
        <v>12104.166666666666</v>
      </c>
      <c r="L11" s="39">
        <f t="shared" si="3"/>
        <v>12104.166666666666</v>
      </c>
      <c r="M11" s="39">
        <f t="shared" si="3"/>
        <v>12104.166666666666</v>
      </c>
      <c r="N11" s="39">
        <f t="shared" si="3"/>
        <v>12104.166666666666</v>
      </c>
      <c r="O11" s="39">
        <f t="shared" si="3"/>
        <v>12104.166666666666</v>
      </c>
      <c r="P11" s="39">
        <f t="shared" si="3"/>
        <v>12104.166666666666</v>
      </c>
      <c r="Q11" s="40">
        <f t="shared" si="3"/>
        <v>12104.166666666666</v>
      </c>
    </row>
    <row r="12" spans="1:17" x14ac:dyDescent="0.2">
      <c r="A12" s="28" t="s">
        <v>25</v>
      </c>
      <c r="B12" s="29" t="s">
        <v>22</v>
      </c>
      <c r="C12" s="29">
        <v>12</v>
      </c>
      <c r="D12" s="30">
        <v>3500</v>
      </c>
      <c r="E12" s="31">
        <f t="shared" si="1"/>
        <v>42000</v>
      </c>
      <c r="F12" s="32">
        <f t="shared" ref="F12:F15" si="4">E12/12</f>
        <v>3500</v>
      </c>
      <c r="G12" s="33">
        <v>3500</v>
      </c>
      <c r="H12" s="33">
        <v>3500</v>
      </c>
      <c r="I12" s="33">
        <v>3500</v>
      </c>
      <c r="J12" s="33">
        <v>3500</v>
      </c>
      <c r="K12" s="33">
        <v>3500</v>
      </c>
      <c r="L12" s="33">
        <v>3500</v>
      </c>
      <c r="M12" s="33">
        <v>3500</v>
      </c>
      <c r="N12" s="33">
        <v>3500</v>
      </c>
      <c r="O12" s="33">
        <v>3500</v>
      </c>
      <c r="P12" s="33">
        <v>3500</v>
      </c>
      <c r="Q12" s="34">
        <v>3500</v>
      </c>
    </row>
    <row r="13" spans="1:17" x14ac:dyDescent="0.2">
      <c r="A13" s="28" t="s">
        <v>26</v>
      </c>
      <c r="B13" s="29" t="s">
        <v>22</v>
      </c>
      <c r="C13" s="29">
        <v>12</v>
      </c>
      <c r="D13" s="30">
        <f>((2500*7)+(2750*5))/12</f>
        <v>2604.1666666666665</v>
      </c>
      <c r="E13" s="31">
        <f t="shared" si="1"/>
        <v>31250</v>
      </c>
      <c r="F13" s="32">
        <f t="shared" si="4"/>
        <v>2604.1666666666665</v>
      </c>
      <c r="G13" s="33">
        <v>2604.1666666666665</v>
      </c>
      <c r="H13" s="33">
        <v>2604.1666666666665</v>
      </c>
      <c r="I13" s="33">
        <v>2604.1666666666665</v>
      </c>
      <c r="J13" s="33">
        <v>2604.1666666666665</v>
      </c>
      <c r="K13" s="33">
        <v>2604.1666666666665</v>
      </c>
      <c r="L13" s="33">
        <v>2604.1666666666665</v>
      </c>
      <c r="M13" s="33">
        <v>2604.1666666666665</v>
      </c>
      <c r="N13" s="33">
        <v>2604.1666666666665</v>
      </c>
      <c r="O13" s="33">
        <v>2604.1666666666665</v>
      </c>
      <c r="P13" s="33">
        <v>2604.1666666666665</v>
      </c>
      <c r="Q13" s="34">
        <v>2604.1666666666665</v>
      </c>
    </row>
    <row r="14" spans="1:17" x14ac:dyDescent="0.2">
      <c r="A14" s="28" t="s">
        <v>27</v>
      </c>
      <c r="B14" s="29" t="s">
        <v>22</v>
      </c>
      <c r="C14" s="29">
        <v>12</v>
      </c>
      <c r="D14" s="30">
        <v>1000</v>
      </c>
      <c r="E14" s="31">
        <f t="shared" si="1"/>
        <v>12000</v>
      </c>
      <c r="F14" s="32">
        <f t="shared" si="4"/>
        <v>1000</v>
      </c>
      <c r="G14" s="33">
        <v>1000</v>
      </c>
      <c r="H14" s="33">
        <v>1000</v>
      </c>
      <c r="I14" s="33">
        <v>1000</v>
      </c>
      <c r="J14" s="33">
        <v>1000</v>
      </c>
      <c r="K14" s="33">
        <v>1000</v>
      </c>
      <c r="L14" s="33">
        <v>1000</v>
      </c>
      <c r="M14" s="33">
        <v>1000</v>
      </c>
      <c r="N14" s="33">
        <v>1000</v>
      </c>
      <c r="O14" s="33">
        <v>1000</v>
      </c>
      <c r="P14" s="33">
        <v>1000</v>
      </c>
      <c r="Q14" s="34">
        <v>1000</v>
      </c>
    </row>
    <row r="15" spans="1:17" x14ac:dyDescent="0.2">
      <c r="A15" s="28" t="s">
        <v>28</v>
      </c>
      <c r="B15" s="29" t="s">
        <v>22</v>
      </c>
      <c r="C15" s="29">
        <v>12</v>
      </c>
      <c r="D15" s="30">
        <v>500</v>
      </c>
      <c r="E15" s="31">
        <f t="shared" si="1"/>
        <v>6000</v>
      </c>
      <c r="F15" s="32">
        <f t="shared" si="4"/>
        <v>500</v>
      </c>
      <c r="G15" s="33">
        <v>500</v>
      </c>
      <c r="H15" s="33">
        <v>500</v>
      </c>
      <c r="I15" s="33">
        <v>500</v>
      </c>
      <c r="J15" s="33">
        <v>500</v>
      </c>
      <c r="K15" s="33">
        <v>500</v>
      </c>
      <c r="L15" s="33">
        <v>500</v>
      </c>
      <c r="M15" s="33">
        <v>500</v>
      </c>
      <c r="N15" s="33">
        <v>500</v>
      </c>
      <c r="O15" s="33">
        <v>500</v>
      </c>
      <c r="P15" s="33">
        <v>500</v>
      </c>
      <c r="Q15" s="34">
        <v>500</v>
      </c>
    </row>
    <row r="16" spans="1:17" s="49" customFormat="1" x14ac:dyDescent="0.2">
      <c r="A16" s="42" t="s">
        <v>29</v>
      </c>
      <c r="B16" s="43"/>
      <c r="C16" s="43"/>
      <c r="D16" s="44"/>
      <c r="E16" s="45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</row>
    <row r="17" spans="1:17" x14ac:dyDescent="0.2">
      <c r="A17" s="28" t="s">
        <v>30</v>
      </c>
      <c r="B17" s="29" t="s">
        <v>31</v>
      </c>
      <c r="C17" s="29">
        <v>1</v>
      </c>
      <c r="D17" s="30">
        <v>30000</v>
      </c>
      <c r="E17" s="31">
        <f t="shared" si="1"/>
        <v>30000</v>
      </c>
      <c r="F17" s="32">
        <f t="shared" ref="F17:F29" si="5">E17/12</f>
        <v>2500</v>
      </c>
      <c r="G17" s="33">
        <v>2500</v>
      </c>
      <c r="H17" s="33">
        <v>2500</v>
      </c>
      <c r="I17" s="33">
        <v>2500</v>
      </c>
      <c r="J17" s="33">
        <v>2500</v>
      </c>
      <c r="K17" s="33">
        <v>2500</v>
      </c>
      <c r="L17" s="33">
        <v>2500</v>
      </c>
      <c r="M17" s="33">
        <v>2500</v>
      </c>
      <c r="N17" s="33">
        <v>2500</v>
      </c>
      <c r="O17" s="33">
        <v>2500</v>
      </c>
      <c r="P17" s="33">
        <v>2500</v>
      </c>
      <c r="Q17" s="34">
        <v>2500</v>
      </c>
    </row>
    <row r="18" spans="1:17" x14ac:dyDescent="0.2">
      <c r="A18" s="28" t="s">
        <v>32</v>
      </c>
      <c r="B18" s="29" t="s">
        <v>31</v>
      </c>
      <c r="C18" s="29">
        <v>12</v>
      </c>
      <c r="D18" s="30">
        <v>2000</v>
      </c>
      <c r="E18" s="31">
        <f t="shared" si="1"/>
        <v>24000</v>
      </c>
      <c r="F18" s="32">
        <f t="shared" si="5"/>
        <v>2000</v>
      </c>
      <c r="G18" s="33">
        <v>2000</v>
      </c>
      <c r="H18" s="33">
        <v>2000</v>
      </c>
      <c r="I18" s="33">
        <v>2000</v>
      </c>
      <c r="J18" s="33">
        <v>2000</v>
      </c>
      <c r="K18" s="33">
        <v>2000</v>
      </c>
      <c r="L18" s="33">
        <v>2000</v>
      </c>
      <c r="M18" s="33">
        <v>2000</v>
      </c>
      <c r="N18" s="33">
        <v>2000</v>
      </c>
      <c r="O18" s="33">
        <v>2000</v>
      </c>
      <c r="P18" s="33">
        <v>2000</v>
      </c>
      <c r="Q18" s="34">
        <v>2000</v>
      </c>
    </row>
    <row r="19" spans="1:17" s="41" customFormat="1" x14ac:dyDescent="0.2">
      <c r="A19" s="26" t="s">
        <v>33</v>
      </c>
      <c r="B19" s="35"/>
      <c r="C19" s="35"/>
      <c r="D19" s="36"/>
      <c r="E19" s="37">
        <f t="shared" ref="E19:Q19" si="6">SUM(E20:E21)</f>
        <v>79200</v>
      </c>
      <c r="F19" s="38">
        <f t="shared" si="6"/>
        <v>6600</v>
      </c>
      <c r="G19" s="39">
        <f t="shared" si="6"/>
        <v>6600</v>
      </c>
      <c r="H19" s="39">
        <f t="shared" si="6"/>
        <v>6600</v>
      </c>
      <c r="I19" s="39">
        <f t="shared" si="6"/>
        <v>6600</v>
      </c>
      <c r="J19" s="39">
        <f t="shared" si="6"/>
        <v>6600</v>
      </c>
      <c r="K19" s="39">
        <f t="shared" si="6"/>
        <v>6600</v>
      </c>
      <c r="L19" s="39">
        <f t="shared" si="6"/>
        <v>6600</v>
      </c>
      <c r="M19" s="39">
        <f t="shared" si="6"/>
        <v>6600</v>
      </c>
      <c r="N19" s="39">
        <f t="shared" si="6"/>
        <v>6600</v>
      </c>
      <c r="O19" s="39">
        <f t="shared" si="6"/>
        <v>6600</v>
      </c>
      <c r="P19" s="39">
        <f t="shared" si="6"/>
        <v>6600</v>
      </c>
      <c r="Q19" s="40">
        <f t="shared" si="6"/>
        <v>6600</v>
      </c>
    </row>
    <row r="20" spans="1:17" x14ac:dyDescent="0.2">
      <c r="A20" s="28" t="s">
        <v>34</v>
      </c>
      <c r="B20" s="29" t="s">
        <v>22</v>
      </c>
      <c r="C20" s="29">
        <v>12</v>
      </c>
      <c r="D20" s="30">
        <v>5400</v>
      </c>
      <c r="E20" s="31">
        <f t="shared" si="1"/>
        <v>64800</v>
      </c>
      <c r="F20" s="32">
        <f t="shared" si="5"/>
        <v>5400</v>
      </c>
      <c r="G20" s="33">
        <v>5400</v>
      </c>
      <c r="H20" s="33">
        <v>5400</v>
      </c>
      <c r="I20" s="33">
        <v>5400</v>
      </c>
      <c r="J20" s="33">
        <v>5400</v>
      </c>
      <c r="K20" s="33">
        <v>5400</v>
      </c>
      <c r="L20" s="33">
        <v>5400</v>
      </c>
      <c r="M20" s="33">
        <v>5400</v>
      </c>
      <c r="N20" s="33">
        <v>5400</v>
      </c>
      <c r="O20" s="33">
        <v>5400</v>
      </c>
      <c r="P20" s="33">
        <v>5400</v>
      </c>
      <c r="Q20" s="34">
        <v>5400</v>
      </c>
    </row>
    <row r="21" spans="1:17" x14ac:dyDescent="0.2">
      <c r="A21" s="28" t="s">
        <v>35</v>
      </c>
      <c r="B21" s="29" t="s">
        <v>22</v>
      </c>
      <c r="C21" s="29">
        <v>12</v>
      </c>
      <c r="D21" s="30">
        <v>1200</v>
      </c>
      <c r="E21" s="31">
        <f t="shared" si="1"/>
        <v>14400</v>
      </c>
      <c r="F21" s="32">
        <f t="shared" si="5"/>
        <v>1200</v>
      </c>
      <c r="G21" s="33">
        <v>1200</v>
      </c>
      <c r="H21" s="33">
        <v>1200</v>
      </c>
      <c r="I21" s="33">
        <v>1200</v>
      </c>
      <c r="J21" s="33">
        <v>1200</v>
      </c>
      <c r="K21" s="33">
        <v>1200</v>
      </c>
      <c r="L21" s="33">
        <v>1200</v>
      </c>
      <c r="M21" s="33">
        <v>1200</v>
      </c>
      <c r="N21" s="33">
        <v>1200</v>
      </c>
      <c r="O21" s="33">
        <v>1200</v>
      </c>
      <c r="P21" s="33">
        <v>1200</v>
      </c>
      <c r="Q21" s="34">
        <v>1200</v>
      </c>
    </row>
    <row r="22" spans="1:17" s="19" customFormat="1" x14ac:dyDescent="0.2">
      <c r="A22" s="26" t="s">
        <v>36</v>
      </c>
      <c r="B22" s="50"/>
      <c r="C22" s="50"/>
      <c r="D22" s="39"/>
      <c r="E22" s="37">
        <f>SUM(E23:E29)</f>
        <v>95000</v>
      </c>
      <c r="F22" s="38">
        <f t="shared" ref="F22:Q22" si="7">SUM(F23:F29)</f>
        <v>7916.666666666667</v>
      </c>
      <c r="G22" s="39">
        <f t="shared" si="7"/>
        <v>7916.666666666667</v>
      </c>
      <c r="H22" s="39">
        <f t="shared" si="7"/>
        <v>7916.666666666667</v>
      </c>
      <c r="I22" s="39">
        <f t="shared" si="7"/>
        <v>7916.666666666667</v>
      </c>
      <c r="J22" s="39">
        <f t="shared" si="7"/>
        <v>7916.666666666667</v>
      </c>
      <c r="K22" s="39">
        <f t="shared" si="7"/>
        <v>7916.666666666667</v>
      </c>
      <c r="L22" s="39">
        <f t="shared" si="7"/>
        <v>7916.666666666667</v>
      </c>
      <c r="M22" s="39">
        <f t="shared" si="7"/>
        <v>7916.666666666667</v>
      </c>
      <c r="N22" s="39">
        <f t="shared" si="7"/>
        <v>7916.666666666667</v>
      </c>
      <c r="O22" s="39">
        <f t="shared" si="7"/>
        <v>7916.666666666667</v>
      </c>
      <c r="P22" s="39">
        <f t="shared" si="7"/>
        <v>7916.666666666667</v>
      </c>
      <c r="Q22" s="40">
        <f t="shared" si="7"/>
        <v>7916.666666666667</v>
      </c>
    </row>
    <row r="23" spans="1:17" x14ac:dyDescent="0.2">
      <c r="A23" s="28" t="s">
        <v>37</v>
      </c>
      <c r="B23" s="29" t="s">
        <v>22</v>
      </c>
      <c r="C23" s="29">
        <v>12</v>
      </c>
      <c r="D23" s="30">
        <v>2000</v>
      </c>
      <c r="E23" s="31">
        <f t="shared" si="1"/>
        <v>24000</v>
      </c>
      <c r="F23" s="32">
        <f t="shared" si="5"/>
        <v>2000</v>
      </c>
      <c r="G23" s="33">
        <v>2000</v>
      </c>
      <c r="H23" s="33">
        <v>2000</v>
      </c>
      <c r="I23" s="33">
        <v>2000</v>
      </c>
      <c r="J23" s="33">
        <v>2000</v>
      </c>
      <c r="K23" s="33">
        <v>2000</v>
      </c>
      <c r="L23" s="33">
        <v>2000</v>
      </c>
      <c r="M23" s="33">
        <v>2000</v>
      </c>
      <c r="N23" s="33">
        <v>2000</v>
      </c>
      <c r="O23" s="33">
        <v>2000</v>
      </c>
      <c r="P23" s="33">
        <v>2000</v>
      </c>
      <c r="Q23" s="34">
        <v>2000</v>
      </c>
    </row>
    <row r="24" spans="1:17" x14ac:dyDescent="0.2">
      <c r="A24" s="28" t="s">
        <v>38</v>
      </c>
      <c r="B24" s="29" t="s">
        <v>22</v>
      </c>
      <c r="C24" s="29">
        <v>12</v>
      </c>
      <c r="D24" s="30">
        <v>1500</v>
      </c>
      <c r="E24" s="31">
        <f t="shared" si="1"/>
        <v>18000</v>
      </c>
      <c r="F24" s="32">
        <f t="shared" si="5"/>
        <v>1500</v>
      </c>
      <c r="G24" s="33">
        <v>1500</v>
      </c>
      <c r="H24" s="33">
        <v>1500</v>
      </c>
      <c r="I24" s="33">
        <v>1500</v>
      </c>
      <c r="J24" s="33">
        <v>1500</v>
      </c>
      <c r="K24" s="33">
        <v>1500</v>
      </c>
      <c r="L24" s="33">
        <v>1500</v>
      </c>
      <c r="M24" s="33">
        <v>1500</v>
      </c>
      <c r="N24" s="33">
        <v>1500</v>
      </c>
      <c r="O24" s="33">
        <v>1500</v>
      </c>
      <c r="P24" s="33">
        <v>1500</v>
      </c>
      <c r="Q24" s="34">
        <v>1500</v>
      </c>
    </row>
    <row r="25" spans="1:17" x14ac:dyDescent="0.2">
      <c r="A25" s="28" t="s">
        <v>39</v>
      </c>
      <c r="B25" s="29" t="s">
        <v>31</v>
      </c>
      <c r="C25" s="29">
        <v>1</v>
      </c>
      <c r="D25" s="30">
        <v>3000</v>
      </c>
      <c r="E25" s="31">
        <f t="shared" si="1"/>
        <v>3000</v>
      </c>
      <c r="F25" s="32">
        <f t="shared" si="5"/>
        <v>250</v>
      </c>
      <c r="G25" s="33">
        <v>250</v>
      </c>
      <c r="H25" s="33">
        <v>250</v>
      </c>
      <c r="I25" s="33">
        <v>250</v>
      </c>
      <c r="J25" s="33">
        <v>250</v>
      </c>
      <c r="K25" s="33">
        <v>250</v>
      </c>
      <c r="L25" s="33">
        <v>250</v>
      </c>
      <c r="M25" s="33">
        <v>250</v>
      </c>
      <c r="N25" s="33">
        <v>250</v>
      </c>
      <c r="O25" s="33">
        <v>250</v>
      </c>
      <c r="P25" s="33">
        <v>250</v>
      </c>
      <c r="Q25" s="34">
        <v>250</v>
      </c>
    </row>
    <row r="26" spans="1:17" x14ac:dyDescent="0.2">
      <c r="A26" s="28" t="s">
        <v>40</v>
      </c>
      <c r="B26" s="29" t="s">
        <v>31</v>
      </c>
      <c r="C26" s="29">
        <v>4</v>
      </c>
      <c r="D26" s="30">
        <v>1000</v>
      </c>
      <c r="E26" s="31">
        <f t="shared" si="1"/>
        <v>4000</v>
      </c>
      <c r="F26" s="32">
        <f t="shared" si="5"/>
        <v>333.33333333333331</v>
      </c>
      <c r="G26" s="33">
        <v>333.33333333333331</v>
      </c>
      <c r="H26" s="33">
        <v>333.33333333333331</v>
      </c>
      <c r="I26" s="33">
        <v>333.33333333333331</v>
      </c>
      <c r="J26" s="33">
        <v>333.33333333333331</v>
      </c>
      <c r="K26" s="33">
        <v>333.33333333333331</v>
      </c>
      <c r="L26" s="33">
        <v>333.33333333333331</v>
      </c>
      <c r="M26" s="33">
        <v>333.33333333333331</v>
      </c>
      <c r="N26" s="33">
        <v>333.33333333333331</v>
      </c>
      <c r="O26" s="33">
        <v>333.33333333333331</v>
      </c>
      <c r="P26" s="33">
        <v>333.33333333333331</v>
      </c>
      <c r="Q26" s="34">
        <v>333.33333333333331</v>
      </c>
    </row>
    <row r="27" spans="1:17" x14ac:dyDescent="0.2">
      <c r="A27" s="28" t="s">
        <v>41</v>
      </c>
      <c r="B27" s="29" t="s">
        <v>31</v>
      </c>
      <c r="C27" s="29">
        <v>1</v>
      </c>
      <c r="D27" s="30">
        <v>5000</v>
      </c>
      <c r="E27" s="31">
        <f t="shared" si="1"/>
        <v>5000</v>
      </c>
      <c r="F27" s="32">
        <f t="shared" si="5"/>
        <v>416.66666666666669</v>
      </c>
      <c r="G27" s="33">
        <v>416.66666666666669</v>
      </c>
      <c r="H27" s="33">
        <v>416.66666666666669</v>
      </c>
      <c r="I27" s="33">
        <v>416.66666666666669</v>
      </c>
      <c r="J27" s="33">
        <v>416.66666666666669</v>
      </c>
      <c r="K27" s="33">
        <v>416.66666666666669</v>
      </c>
      <c r="L27" s="33">
        <v>416.66666666666669</v>
      </c>
      <c r="M27" s="33">
        <v>416.66666666666669</v>
      </c>
      <c r="N27" s="33">
        <v>416.66666666666669</v>
      </c>
      <c r="O27" s="33">
        <v>416.66666666666669</v>
      </c>
      <c r="P27" s="33">
        <v>416.66666666666669</v>
      </c>
      <c r="Q27" s="34">
        <v>416.66666666666669</v>
      </c>
    </row>
    <row r="28" spans="1:17" x14ac:dyDescent="0.2">
      <c r="A28" s="28" t="s">
        <v>42</v>
      </c>
      <c r="B28" s="29" t="s">
        <v>22</v>
      </c>
      <c r="C28" s="29">
        <v>12</v>
      </c>
      <c r="D28" s="30">
        <v>3000</v>
      </c>
      <c r="E28" s="31">
        <f t="shared" si="1"/>
        <v>36000</v>
      </c>
      <c r="F28" s="32">
        <f t="shared" si="5"/>
        <v>3000</v>
      </c>
      <c r="G28" s="33">
        <v>3000</v>
      </c>
      <c r="H28" s="33">
        <v>3000</v>
      </c>
      <c r="I28" s="33">
        <v>3000</v>
      </c>
      <c r="J28" s="33">
        <v>3000</v>
      </c>
      <c r="K28" s="33">
        <v>3000</v>
      </c>
      <c r="L28" s="33">
        <v>3000</v>
      </c>
      <c r="M28" s="33">
        <v>3000</v>
      </c>
      <c r="N28" s="33">
        <v>3000</v>
      </c>
      <c r="O28" s="33">
        <v>3000</v>
      </c>
      <c r="P28" s="33">
        <v>3000</v>
      </c>
      <c r="Q28" s="34">
        <v>3000</v>
      </c>
    </row>
    <row r="29" spans="1:17" x14ac:dyDescent="0.2">
      <c r="A29" s="28" t="s">
        <v>43</v>
      </c>
      <c r="B29" s="29" t="s">
        <v>31</v>
      </c>
      <c r="C29" s="29">
        <v>1</v>
      </c>
      <c r="D29" s="30">
        <v>5000</v>
      </c>
      <c r="E29" s="31">
        <f t="shared" si="1"/>
        <v>5000</v>
      </c>
      <c r="F29" s="32">
        <f t="shared" si="5"/>
        <v>416.66666666666669</v>
      </c>
      <c r="G29" s="33">
        <v>416.66666666666669</v>
      </c>
      <c r="H29" s="33">
        <v>416.66666666666669</v>
      </c>
      <c r="I29" s="33">
        <v>416.66666666666669</v>
      </c>
      <c r="J29" s="33">
        <v>416.66666666666669</v>
      </c>
      <c r="K29" s="33">
        <v>416.66666666666669</v>
      </c>
      <c r="L29" s="33">
        <v>416.66666666666669</v>
      </c>
      <c r="M29" s="33">
        <v>416.66666666666669</v>
      </c>
      <c r="N29" s="33">
        <v>416.66666666666669</v>
      </c>
      <c r="O29" s="33">
        <v>416.66666666666669</v>
      </c>
      <c r="P29" s="33">
        <v>416.66666666666669</v>
      </c>
      <c r="Q29" s="34">
        <v>416.66666666666669</v>
      </c>
    </row>
    <row r="30" spans="1:17" s="19" customFormat="1" ht="18" thickBot="1" x14ac:dyDescent="0.25">
      <c r="A30" s="51" t="s">
        <v>44</v>
      </c>
      <c r="B30" s="52"/>
      <c r="C30" s="52"/>
      <c r="D30" s="53"/>
      <c r="E30" s="54">
        <f>E22+E19+E11+E6</f>
        <v>511450</v>
      </c>
      <c r="F30" s="38">
        <f>F22+F19+F11+F6</f>
        <v>42620.833333333336</v>
      </c>
      <c r="G30" s="39">
        <f>G22+G19+G11+G6</f>
        <v>42620.833333333336</v>
      </c>
      <c r="H30" s="39">
        <f>H22+H19+H11+H6</f>
        <v>42620.833333333336</v>
      </c>
      <c r="I30" s="39">
        <f>I22+I19+I11+I6</f>
        <v>42620.833333333336</v>
      </c>
      <c r="J30" s="39">
        <f>J22+J19+J11+J6</f>
        <v>42620.833333333336</v>
      </c>
      <c r="K30" s="39">
        <f>K22+K19+K11+K6</f>
        <v>42620.833333333336</v>
      </c>
      <c r="L30" s="39">
        <f>L22+L19+L11+L6</f>
        <v>42620.833333333336</v>
      </c>
      <c r="M30" s="39">
        <f>M22+M19+M11+M6</f>
        <v>42620.833333333336</v>
      </c>
      <c r="N30" s="39">
        <f>N22+N19+N11+N6</f>
        <v>42620.833333333336</v>
      </c>
      <c r="O30" s="39">
        <f>O22+O19+O11+O6</f>
        <v>42620.833333333336</v>
      </c>
      <c r="P30" s="39">
        <f>P22+P19+P11+P6</f>
        <v>42620.833333333336</v>
      </c>
      <c r="Q30" s="40">
        <f>Q22+Q19+Q11+Q6</f>
        <v>42620.833333333336</v>
      </c>
    </row>
    <row r="31" spans="1:17" s="19" customFormat="1" ht="33" thickBot="1" x14ac:dyDescent="0.25">
      <c r="A31" s="55" t="s">
        <v>45</v>
      </c>
      <c r="B31" s="56"/>
      <c r="C31" s="56"/>
      <c r="D31" s="57"/>
      <c r="E31" s="58"/>
      <c r="F31" s="59">
        <f>F4+F5-F30</f>
        <v>262379.16666666669</v>
      </c>
      <c r="G31" s="60">
        <f>G4+G5-G30</f>
        <v>277758.33333333337</v>
      </c>
      <c r="H31" s="60">
        <f>H4+H5-H30</f>
        <v>287937.50000000006</v>
      </c>
      <c r="I31" s="60">
        <f>I4+I5-I30</f>
        <v>245316.66666666672</v>
      </c>
      <c r="J31" s="60">
        <f>J4+J5-J30</f>
        <v>202695.83333333337</v>
      </c>
      <c r="K31" s="60">
        <f>K4+K5-K30</f>
        <v>160075.00000000003</v>
      </c>
      <c r="L31" s="60">
        <f>L4+L5-L30</f>
        <v>145711.28666666668</v>
      </c>
      <c r="M31" s="60">
        <f>M4+M5-M30</f>
        <v>103090.45333333334</v>
      </c>
      <c r="N31" s="60">
        <f>N4+N5-N30</f>
        <v>60469.62</v>
      </c>
      <c r="O31" s="60">
        <f>O4+O5-O30</f>
        <v>17848.786666666667</v>
      </c>
      <c r="P31" s="60">
        <f>P4+P5-P30</f>
        <v>-24772.046666666669</v>
      </c>
      <c r="Q31" s="61">
        <f>Q4+Q5-Q30</f>
        <v>-67392.88</v>
      </c>
    </row>
    <row r="34" spans="1:17" s="62" customFormat="1" x14ac:dyDescent="0.2">
      <c r="A34" s="1"/>
      <c r="B34" s="2"/>
      <c r="C34" s="2"/>
      <c r="D34" s="1"/>
      <c r="E34" s="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</sheetData>
  <mergeCells count="2">
    <mergeCell ref="A2:E2"/>
    <mergeCell ref="F2:Q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eed3e6-46d3-4982-9a52-77b9f88a950f" xsi:nil="true"/>
    <lcf76f155ced4ddcb4097134ff3c332f xmlns="1992903e-44a0-434f-abaa-25872a393ae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978FD413154468326E670F04C8B06" ma:contentTypeVersion="15" ma:contentTypeDescription="Create a new document." ma:contentTypeScope="" ma:versionID="79fdc4f694fa5e8bdcca00c4885a156f">
  <xsd:schema xmlns:xsd="http://www.w3.org/2001/XMLSchema" xmlns:xs="http://www.w3.org/2001/XMLSchema" xmlns:p="http://schemas.microsoft.com/office/2006/metadata/properties" xmlns:ns2="d6eed3e6-46d3-4982-9a52-77b9f88a950f" xmlns:ns3="1992903e-44a0-434f-abaa-25872a393aed" targetNamespace="http://schemas.microsoft.com/office/2006/metadata/properties" ma:root="true" ma:fieldsID="a614d7810fff7953597f54f83321d91e" ns2:_="" ns3:_="">
    <xsd:import namespace="d6eed3e6-46d3-4982-9a52-77b9f88a950f"/>
    <xsd:import namespace="1992903e-44a0-434f-abaa-25872a393ae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ed3e6-46d3-4982-9a52-77b9f88a95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a7b472-6be5-406d-bbd5-0a2d8832cdc6}" ma:internalName="TaxCatchAll" ma:showField="CatchAllData" ma:web="d6eed3e6-46d3-4982-9a52-77b9f88a95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2903e-44a0-434f-abaa-25872a393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9ed0b52-a196-47b6-8260-1695e52813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2197C6-45BD-45CA-924B-8136318375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1AEFE8-A975-40D9-8A0E-CFEDB035D647}">
  <ds:schemaRefs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415df12f-57e8-4bc6-95ec-701e933149e9"/>
    <ds:schemaRef ds:uri="d6eed3e6-46d3-4982-9a52-77b9f88a950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FD748C8-FDA0-4EA2-A436-2E880F8A49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Cash_Flow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 Das</dc:creator>
  <cp:keywords/>
  <dc:description/>
  <cp:lastModifiedBy>Eva  Buzo</cp:lastModifiedBy>
  <cp:revision/>
  <dcterms:created xsi:type="dcterms:W3CDTF">2025-11-11T09:34:29Z</dcterms:created>
  <dcterms:modified xsi:type="dcterms:W3CDTF">2025-11-14T09:24:13Z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0x0101005A3978FD413154468326E670F04C8B06</vt:lpwstr>
  </property>
  <property fmtid="{D5CDD505-2E9C-101B-9397-08002B2CF9AE}" pid="3" name="MediaServiceImageTags">
    <vt:lpwstr/>
  </property>
</Properties>
</file>