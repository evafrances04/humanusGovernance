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1" documentId="11_21F64C6E3D8A7AF2F70CED11D2B7CE8A559D4F6A" xr6:coauthVersionLast="47" xr6:coauthVersionMax="47" xr10:uidLastSave="{3378A64A-1AFF-49F6-8CDD-0D82D6681822}"/>
  <bookViews>
    <workbookView xWindow="0" yWindow="0" windowWidth="0" windowHeight="0" xr2:uid="{00000000-000D-0000-FFFF-FFFF00000000}"/>
  </bookViews>
  <sheets>
    <sheet name="Profit and Loss - VAI" sheetId="1" r:id="rId1"/>
    <sheet name="Profit and Loss" sheetId="2" r:id="rId2"/>
    <sheet name="Balance Sheet" sheetId="3" r:id="rId3"/>
    <sheet name="Aged Receivables Summary" sheetId="4" r:id="rId4"/>
    <sheet name="Aged Payables Summary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" i="5" l="1"/>
  <c r="H15" i="5"/>
  <c r="G15" i="5"/>
  <c r="F15" i="5"/>
  <c r="E15" i="5"/>
  <c r="D15" i="5"/>
  <c r="B15" i="5"/>
  <c r="I11" i="5"/>
  <c r="I13" i="5" s="1"/>
  <c r="H11" i="5"/>
  <c r="H13" i="5" s="1"/>
  <c r="G11" i="5"/>
  <c r="G13" i="5" s="1"/>
  <c r="F11" i="5"/>
  <c r="F13" i="5" s="1"/>
  <c r="E11" i="5"/>
  <c r="E13" i="5" s="1"/>
  <c r="D11" i="5"/>
  <c r="D13" i="5" s="1"/>
  <c r="B11" i="5"/>
  <c r="B13" i="5" s="1"/>
  <c r="C30" i="3"/>
  <c r="C22" i="3"/>
  <c r="C23" i="3" s="1"/>
  <c r="C16" i="3"/>
  <c r="C12" i="3"/>
  <c r="C17" i="3" s="1"/>
  <c r="C25" i="3" s="1"/>
  <c r="B38" i="2"/>
  <c r="B24" i="2"/>
  <c r="B9" i="2"/>
  <c r="B40" i="2" s="1"/>
  <c r="G50" i="1"/>
  <c r="F50" i="1"/>
  <c r="E50" i="1"/>
  <c r="D50" i="1"/>
  <c r="C50" i="1"/>
  <c r="H50" i="1" s="1"/>
  <c r="H49" i="1"/>
  <c r="H48" i="1"/>
  <c r="H47" i="1"/>
  <c r="G45" i="1"/>
  <c r="F45" i="1"/>
  <c r="E45" i="1"/>
  <c r="D45" i="1"/>
  <c r="C45" i="1"/>
  <c r="H45" i="1" s="1"/>
  <c r="H44" i="1"/>
  <c r="G42" i="1"/>
  <c r="F42" i="1"/>
  <c r="E42" i="1"/>
  <c r="D42" i="1"/>
  <c r="C42" i="1"/>
  <c r="H42" i="1" s="1"/>
  <c r="H41" i="1"/>
  <c r="H40" i="1"/>
  <c r="H39" i="1"/>
  <c r="H38" i="1"/>
  <c r="H37" i="1"/>
  <c r="G35" i="1"/>
  <c r="G51" i="1" s="1"/>
  <c r="F35" i="1"/>
  <c r="F51" i="1" s="1"/>
  <c r="E35" i="1"/>
  <c r="E51" i="1" s="1"/>
  <c r="D35" i="1"/>
  <c r="D51" i="1" s="1"/>
  <c r="C35" i="1"/>
  <c r="H34" i="1"/>
  <c r="G29" i="1"/>
  <c r="F29" i="1"/>
  <c r="E29" i="1"/>
  <c r="D29" i="1"/>
  <c r="C29" i="1"/>
  <c r="H29" i="1" s="1"/>
  <c r="H28" i="1"/>
  <c r="H27" i="1"/>
  <c r="H26" i="1"/>
  <c r="H25" i="1"/>
  <c r="H24" i="1"/>
  <c r="G22" i="1"/>
  <c r="G30" i="1" s="1"/>
  <c r="F22" i="1"/>
  <c r="F30" i="1" s="1"/>
  <c r="E22" i="1"/>
  <c r="E30" i="1" s="1"/>
  <c r="D22" i="1"/>
  <c r="D30" i="1" s="1"/>
  <c r="C22" i="1"/>
  <c r="H21" i="1"/>
  <c r="H20" i="1"/>
  <c r="H19" i="1"/>
  <c r="H18" i="1"/>
  <c r="H17" i="1"/>
  <c r="H16" i="1"/>
  <c r="H15" i="1"/>
  <c r="G10" i="1"/>
  <c r="G11" i="1" s="1"/>
  <c r="G53" i="1" s="1"/>
  <c r="F10" i="1"/>
  <c r="F11" i="1" s="1"/>
  <c r="F53" i="1" s="1"/>
  <c r="E10" i="1"/>
  <c r="E11" i="1" s="1"/>
  <c r="E53" i="1" s="1"/>
  <c r="D10" i="1"/>
  <c r="D11" i="1" s="1"/>
  <c r="D53" i="1" s="1"/>
  <c r="C10" i="1"/>
  <c r="H9" i="1"/>
  <c r="C11" i="1" l="1"/>
  <c r="H10" i="1"/>
  <c r="C30" i="1"/>
  <c r="H30" i="1" s="1"/>
  <c r="H22" i="1"/>
  <c r="C51" i="1"/>
  <c r="H51" i="1" s="1"/>
  <c r="H35" i="1"/>
  <c r="C53" i="1" l="1"/>
  <c r="H53" i="1" s="1"/>
  <c r="H11" i="1"/>
</calcChain>
</file>

<file path=xl/sharedStrings.xml><?xml version="1.0" encoding="utf-8"?>
<sst xmlns="http://schemas.openxmlformats.org/spreadsheetml/2006/main" count="149" uniqueCount="104">
  <si>
    <t>Profit and Loss - VAI</t>
  </si>
  <si>
    <t>Victim Advocates International Foundation</t>
  </si>
  <si>
    <t>For the 3 months ended 31 March 2025</t>
  </si>
  <si>
    <t>Account</t>
  </si>
  <si>
    <t>CoWater</t>
  </si>
  <si>
    <t>Irish Rule of Law International</t>
  </si>
  <si>
    <t>OSF#4 (2025-29)</t>
  </si>
  <si>
    <t>Reserves (Interest)</t>
  </si>
  <si>
    <t>Rohingya Women's Dialogue - Swiss (2024-26)</t>
  </si>
  <si>
    <t>Total</t>
  </si>
  <si>
    <t>Income</t>
  </si>
  <si>
    <t>Indirect Income</t>
  </si>
  <si>
    <t>Interest Income</t>
  </si>
  <si>
    <t>Total Indirect Income</t>
  </si>
  <si>
    <t>Total Income</t>
  </si>
  <si>
    <t>Programme Expenses</t>
  </si>
  <si>
    <t>Staffing</t>
  </si>
  <si>
    <t>Executive Director</t>
  </si>
  <si>
    <t>Project Consultants</t>
  </si>
  <si>
    <t>Cost of Living Allowances</t>
  </si>
  <si>
    <t>Meeting Expenses</t>
  </si>
  <si>
    <t>Partner Grants</t>
  </si>
  <si>
    <t>Volunteer Stipends</t>
  </si>
  <si>
    <t>Project Staff</t>
  </si>
  <si>
    <t>Total Staffing</t>
  </si>
  <si>
    <t>Transport</t>
  </si>
  <si>
    <t>International Flights</t>
  </si>
  <si>
    <t>Domestic Flights</t>
  </si>
  <si>
    <t>Accommodation</t>
  </si>
  <si>
    <t>Per diem</t>
  </si>
  <si>
    <t>Local Transportation</t>
  </si>
  <si>
    <t>Total Transport</t>
  </si>
  <si>
    <t>Total Programme Expenses</t>
  </si>
  <si>
    <t>Operating Expenses</t>
  </si>
  <si>
    <t>Admin Expenses</t>
  </si>
  <si>
    <t>IT &amp; Software Expenses</t>
  </si>
  <si>
    <t>Total Admin Expenses</t>
  </si>
  <si>
    <t>Finance Expenses</t>
  </si>
  <si>
    <t>Accounting &amp; Bookkeeping Fees</t>
  </si>
  <si>
    <t>Bank Charges &amp; Merchant Fees</t>
  </si>
  <si>
    <t>Bank Revaluations</t>
  </si>
  <si>
    <t>Realised Currency Gains</t>
  </si>
  <si>
    <t>Unrealised Currency Gains</t>
  </si>
  <si>
    <t>Total Finance Expenses</t>
  </si>
  <si>
    <t>Operations</t>
  </si>
  <si>
    <t>Branding &amp; Communications</t>
  </si>
  <si>
    <t>Total Operations</t>
  </si>
  <si>
    <t>Governance</t>
  </si>
  <si>
    <t>Board Meetings</t>
  </si>
  <si>
    <t>Strategy &amp; Advisory Services</t>
  </si>
  <si>
    <t>Legal Fees</t>
  </si>
  <si>
    <t>Total Governance</t>
  </si>
  <si>
    <t>Total Operating Expenses</t>
  </si>
  <si>
    <t>Net Surplus/Defecit</t>
  </si>
  <si>
    <t>Profit and Loss</t>
  </si>
  <si>
    <t>Jan-Mar 2025</t>
  </si>
  <si>
    <t>Trading Income</t>
  </si>
  <si>
    <t>Total Trading Income</t>
  </si>
  <si>
    <t>Cost of Sales</t>
  </si>
  <si>
    <t>Total Cost of Sales</t>
  </si>
  <si>
    <t>Depreciation</t>
  </si>
  <si>
    <t>Balance Sheet</t>
  </si>
  <si>
    <t>As at 31 March 2025</t>
  </si>
  <si>
    <t>31 Mar 2025</t>
  </si>
  <si>
    <t>Assets</t>
  </si>
  <si>
    <t>Bank</t>
  </si>
  <si>
    <t>Wise - EUR</t>
  </si>
  <si>
    <t>[FX]</t>
  </si>
  <si>
    <t>WISE - GBP</t>
  </si>
  <si>
    <t>Wise - USD</t>
  </si>
  <si>
    <t>Total Bank</t>
  </si>
  <si>
    <t>Fixed Assets</t>
  </si>
  <si>
    <t>Computer Equipment</t>
  </si>
  <si>
    <t>Less Accumulated Depreciation on Computer Equipment</t>
  </si>
  <si>
    <t>Total Fixed Assets</t>
  </si>
  <si>
    <t>Total Assets</t>
  </si>
  <si>
    <t>Liabilities</t>
  </si>
  <si>
    <t>Current Liabilities</t>
  </si>
  <si>
    <t>Accounts Payable</t>
  </si>
  <si>
    <t>Total Current Liabilities</t>
  </si>
  <si>
    <t>Total Liabilities</t>
  </si>
  <si>
    <t>Net Assets</t>
  </si>
  <si>
    <t>Equity</t>
  </si>
  <si>
    <t>Current Year Earnings</t>
  </si>
  <si>
    <t>Retained Earnings</t>
  </si>
  <si>
    <t>Total Equity</t>
  </si>
  <si>
    <r>
      <rPr>
        <b/>
        <sz val="9"/>
        <color theme="1"/>
        <rFont val="Arial"/>
      </rPr>
      <t>[FX]</t>
    </r>
    <r>
      <rPr>
        <sz val="9"/>
        <color theme="1"/>
        <rFont val="Arial"/>
      </rPr>
      <t xml:space="preserve"> Exchange rates used to convert foreign currency into USD are shown below. Rates are provided by XE.com unless otherwise stated.</t>
    </r>
  </si>
  <si>
    <t>0.924583 EUR (Euro)</t>
  </si>
  <si>
    <t>0.774147 GBP (British Pound)</t>
  </si>
  <si>
    <t>Aged Receivables Summary</t>
  </si>
  <si>
    <t>Ageing by due date</t>
  </si>
  <si>
    <t>Aged Payables Summary</t>
  </si>
  <si>
    <t>Contact</t>
  </si>
  <si>
    <t>Current</t>
  </si>
  <si>
    <t>&lt; 1 Month</t>
  </si>
  <si>
    <t>1 Month</t>
  </si>
  <si>
    <t>2 Months</t>
  </si>
  <si>
    <t>3 Months</t>
  </si>
  <si>
    <t>Older</t>
  </si>
  <si>
    <t>Aged Payables</t>
  </si>
  <si>
    <t>Applied Systems Design Studio</t>
  </si>
  <si>
    <t>ZevRoss Spatial Analysis LLC</t>
  </si>
  <si>
    <t>Total Aged Payables</t>
  </si>
  <si>
    <t>Percentage of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</si>
</sst>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"/>
  </numFmts>
  <fonts count="7">
    <font>
      <sz val="9"/>
      <color theme="1"/>
      <name val="Arial"/>
    </font>
    <font>
      <sz val="14"/>
      <color theme="1"/>
      <name val="Arial"/>
    </font>
    <font>
      <b/>
      <sz val="14"/>
      <color theme="1"/>
      <name val="Arial"/>
    </font>
    <font>
      <sz val="12"/>
      <color theme="1"/>
      <name val="Arial"/>
    </font>
    <font>
      <sz val="10"/>
      <color theme="1"/>
      <name val="Arial"/>
    </font>
    <font>
      <b/>
      <sz val="10"/>
      <color theme="1"/>
      <name val="Arial"/>
    </font>
    <font>
      <b/>
      <sz val="9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EBEBEB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right" vertical="center"/>
    </xf>
    <xf numFmtId="0" fontId="6" fillId="0" borderId="0" xfId="0" applyFont="1" applyAlignment="1">
      <alignment vertical="center"/>
    </xf>
    <xf numFmtId="0" fontId="0" fillId="0" borderId="2" xfId="0" applyBorder="1" applyAlignment="1">
      <alignment vertical="center"/>
    </xf>
    <xf numFmtId="164" fontId="0" fillId="0" borderId="2" xfId="0" applyNumberFormat="1" applyBorder="1" applyAlignment="1">
      <alignment horizontal="right" vertical="center"/>
    </xf>
    <xf numFmtId="0" fontId="6" fillId="0" borderId="2" xfId="0" applyFont="1" applyBorder="1" applyAlignment="1">
      <alignment vertical="center"/>
    </xf>
    <xf numFmtId="164" fontId="6" fillId="0" borderId="2" xfId="0" applyNumberFormat="1" applyFont="1" applyBorder="1" applyAlignment="1">
      <alignment horizontal="right" vertical="center"/>
    </xf>
    <xf numFmtId="0" fontId="6" fillId="2" borderId="3" xfId="0" applyFont="1" applyFill="1" applyBorder="1" applyAlignment="1">
      <alignment vertical="center"/>
    </xf>
    <xf numFmtId="164" fontId="6" fillId="2" borderId="3" xfId="0" applyNumberFormat="1" applyFont="1" applyFill="1" applyBorder="1" applyAlignment="1">
      <alignment horizontal="right"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horizontal="right" vertical="center"/>
    </xf>
    <xf numFmtId="0" fontId="0" fillId="0" borderId="0" xfId="0" applyAlignment="1">
      <alignment vertical="top"/>
    </xf>
    <xf numFmtId="0" fontId="6" fillId="0" borderId="0" xfId="0" applyFont="1" applyAlignment="1">
      <alignment vertical="top"/>
    </xf>
    <xf numFmtId="9" fontId="6" fillId="2" borderId="3" xfId="0" applyNumberFormat="1" applyFont="1" applyFill="1" applyBorder="1" applyAlignment="1">
      <alignment horizontal="right" vertical="center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3"/>
  <sheetViews>
    <sheetView showGridLines="0" tabSelected="1" zoomScaleNormal="100" workbookViewId="0"/>
  </sheetViews>
  <sheetFormatPr defaultRowHeight="12.75"/>
  <cols>
    <col min="1" max="1" width="1.42578125" customWidth="1"/>
    <col min="2" max="2" width="30.7109375" customWidth="1"/>
    <col min="3" max="3" width="11" customWidth="1"/>
    <col min="4" max="4" width="34.140625" customWidth="1"/>
    <col min="5" max="5" width="18.85546875" customWidth="1"/>
    <col min="6" max="6" width="20.85546875" customWidth="1"/>
    <col min="7" max="7" width="49.7109375" customWidth="1"/>
    <col min="8" max="8" width="6.85546875" customWidth="1"/>
  </cols>
  <sheetData>
    <row r="1" spans="1:8" s="1" customFormat="1" ht="16.7" customHeight="1">
      <c r="A1" s="2" t="s">
        <v>0</v>
      </c>
      <c r="B1" s="2"/>
      <c r="C1" s="2"/>
      <c r="D1" s="2"/>
      <c r="E1" s="2"/>
      <c r="F1" s="2"/>
      <c r="G1" s="2"/>
      <c r="H1" s="2"/>
    </row>
    <row r="2" spans="1:8" s="3" customFormat="1" ht="14.45" customHeight="1">
      <c r="A2" s="4" t="s">
        <v>1</v>
      </c>
      <c r="B2" s="4"/>
      <c r="C2" s="4"/>
      <c r="D2" s="4"/>
      <c r="E2" s="4"/>
      <c r="F2" s="4"/>
      <c r="G2" s="4"/>
      <c r="H2" s="4"/>
    </row>
    <row r="3" spans="1:8" s="3" customFormat="1" ht="14.45" customHeight="1">
      <c r="A3" s="4" t="s">
        <v>2</v>
      </c>
      <c r="B3" s="4"/>
      <c r="C3" s="4"/>
      <c r="D3" s="4"/>
      <c r="E3" s="4"/>
      <c r="F3" s="4"/>
      <c r="G3" s="4"/>
      <c r="H3" s="4"/>
    </row>
    <row r="4" spans="1:8" ht="13.35" customHeight="1"/>
    <row r="5" spans="1:8" s="5" customFormat="1" ht="12.2" customHeight="1">
      <c r="A5" s="6"/>
      <c r="B5" s="7" t="s">
        <v>3</v>
      </c>
      <c r="C5" s="8" t="s">
        <v>4</v>
      </c>
      <c r="D5" s="8" t="s">
        <v>5</v>
      </c>
      <c r="E5" s="8" t="s">
        <v>6</v>
      </c>
      <c r="F5" s="8" t="s">
        <v>7</v>
      </c>
      <c r="G5" s="8" t="s">
        <v>8</v>
      </c>
      <c r="H5" s="8" t="s">
        <v>9</v>
      </c>
    </row>
    <row r="6" spans="1:8" ht="13.35" customHeight="1"/>
    <row r="7" spans="1:8" s="5" customFormat="1" ht="12.2" customHeight="1">
      <c r="A7" s="6" t="s">
        <v>10</v>
      </c>
      <c r="B7" s="6"/>
      <c r="C7" s="6"/>
      <c r="D7" s="6"/>
      <c r="E7" s="6"/>
      <c r="F7" s="6"/>
      <c r="G7" s="6"/>
      <c r="H7" s="6"/>
    </row>
    <row r="8" spans="1:8" ht="10.9" customHeight="1">
      <c r="A8" s="9"/>
      <c r="B8" s="9" t="s">
        <v>11</v>
      </c>
      <c r="C8" s="9"/>
      <c r="D8" s="9"/>
      <c r="E8" s="9"/>
      <c r="F8" s="9"/>
      <c r="G8" s="9"/>
      <c r="H8" s="9"/>
    </row>
    <row r="9" spans="1:8" ht="10.9" customHeight="1">
      <c r="B9" s="10" t="s">
        <v>12</v>
      </c>
      <c r="C9" s="11">
        <v>0</v>
      </c>
      <c r="D9" s="11">
        <v>0</v>
      </c>
      <c r="E9" s="11">
        <v>0</v>
      </c>
      <c r="F9" s="11">
        <v>1530.59</v>
      </c>
      <c r="G9" s="11">
        <v>0</v>
      </c>
      <c r="H9" s="11">
        <f>((((C9 + D9) + E9) + F9) + G9)</f>
        <v>1530.59</v>
      </c>
    </row>
    <row r="10" spans="1:8" ht="10.9" customHeight="1">
      <c r="B10" s="12" t="s">
        <v>13</v>
      </c>
      <c r="C10" s="13">
        <f>C9</f>
        <v>0</v>
      </c>
      <c r="D10" s="13">
        <f>D9</f>
        <v>0</v>
      </c>
      <c r="E10" s="13">
        <f>E9</f>
        <v>0</v>
      </c>
      <c r="F10" s="13">
        <f>F9</f>
        <v>1530.59</v>
      </c>
      <c r="G10" s="13">
        <f>G9</f>
        <v>0</v>
      </c>
      <c r="H10" s="13">
        <f>((((C10 + D10) + E10) + F10) + G10)</f>
        <v>1530.59</v>
      </c>
    </row>
    <row r="11" spans="1:8" ht="10.9" customHeight="1">
      <c r="A11" s="12" t="s">
        <v>14</v>
      </c>
      <c r="C11" s="13">
        <f>(0 + C10)</f>
        <v>0</v>
      </c>
      <c r="D11" s="13">
        <f>(0 + D10)</f>
        <v>0</v>
      </c>
      <c r="E11" s="13">
        <f>(0 + E10)</f>
        <v>0</v>
      </c>
      <c r="F11" s="13">
        <f>(0 + F10)</f>
        <v>1530.59</v>
      </c>
      <c r="G11" s="13">
        <f>(0 + G10)</f>
        <v>0</v>
      </c>
      <c r="H11" s="13">
        <f>((((C11 + D11) + E11) + F11) + G11)</f>
        <v>1530.59</v>
      </c>
    </row>
    <row r="12" spans="1:8" ht="13.35" customHeight="1"/>
    <row r="13" spans="1:8" s="5" customFormat="1" ht="12.2" customHeight="1">
      <c r="A13" s="6" t="s">
        <v>15</v>
      </c>
      <c r="B13" s="6"/>
      <c r="C13" s="6"/>
      <c r="D13" s="6"/>
      <c r="E13" s="6"/>
      <c r="F13" s="6"/>
      <c r="G13" s="6"/>
      <c r="H13" s="6"/>
    </row>
    <row r="14" spans="1:8" ht="10.9" customHeight="1">
      <c r="A14" s="9"/>
      <c r="B14" s="9" t="s">
        <v>16</v>
      </c>
      <c r="C14" s="9"/>
      <c r="D14" s="9"/>
      <c r="E14" s="9"/>
      <c r="F14" s="9"/>
      <c r="G14" s="9"/>
      <c r="H14" s="9"/>
    </row>
    <row r="15" spans="1:8" ht="10.9" customHeight="1">
      <c r="B15" s="10" t="s">
        <v>17</v>
      </c>
      <c r="C15" s="11">
        <v>7403.18</v>
      </c>
      <c r="D15" s="11">
        <v>0</v>
      </c>
      <c r="E15" s="11">
        <v>10720</v>
      </c>
      <c r="F15" s="11">
        <v>0</v>
      </c>
      <c r="G15" s="11">
        <v>14037.58</v>
      </c>
      <c r="H15" s="11">
        <f>((((C15 + D15) + E15) + F15) + G15)</f>
        <v>32160.760000000002</v>
      </c>
    </row>
    <row r="16" spans="1:8" ht="10.9" customHeight="1">
      <c r="B16" s="10" t="s">
        <v>18</v>
      </c>
      <c r="C16" s="11">
        <v>0</v>
      </c>
      <c r="D16" s="11">
        <v>0</v>
      </c>
      <c r="E16" s="11">
        <v>23959.63</v>
      </c>
      <c r="F16" s="11">
        <v>0</v>
      </c>
      <c r="G16" s="11">
        <v>2991</v>
      </c>
      <c r="H16" s="11">
        <f>((((C16 + D16) + E16) + F16) + G16)</f>
        <v>26950.63</v>
      </c>
    </row>
    <row r="17" spans="1:8" ht="10.9" customHeight="1">
      <c r="B17" s="10" t="s">
        <v>19</v>
      </c>
      <c r="C17" s="11">
        <v>0</v>
      </c>
      <c r="D17" s="11">
        <v>0</v>
      </c>
      <c r="E17" s="11">
        <v>5790.58</v>
      </c>
      <c r="F17" s="11">
        <v>0</v>
      </c>
      <c r="G17" s="11">
        <v>500.14</v>
      </c>
      <c r="H17" s="11">
        <f>((((C17 + D17) + E17) + F17) + G17)</f>
        <v>6290.72</v>
      </c>
    </row>
    <row r="18" spans="1:8" ht="10.9" customHeight="1">
      <c r="B18" s="10" t="s">
        <v>20</v>
      </c>
      <c r="C18" s="11">
        <v>0</v>
      </c>
      <c r="D18" s="11">
        <v>0</v>
      </c>
      <c r="E18" s="11">
        <v>0</v>
      </c>
      <c r="F18" s="11">
        <v>0</v>
      </c>
      <c r="G18" s="11">
        <v>378.27</v>
      </c>
      <c r="H18" s="11">
        <f>((((C18 + D18) + E18) + F18) + G18)</f>
        <v>378.27</v>
      </c>
    </row>
    <row r="19" spans="1:8" ht="10.9" customHeight="1">
      <c r="B19" s="10" t="s">
        <v>21</v>
      </c>
      <c r="C19" s="11">
        <v>0</v>
      </c>
      <c r="D19" s="11">
        <v>20577.150000000001</v>
      </c>
      <c r="E19" s="11">
        <v>17928.87</v>
      </c>
      <c r="F19" s="11">
        <v>0</v>
      </c>
      <c r="G19" s="11">
        <v>1487.44</v>
      </c>
      <c r="H19" s="11">
        <f>((((C19 + D19) + E19) + F19) + G19)</f>
        <v>39993.460000000006</v>
      </c>
    </row>
    <row r="20" spans="1:8" ht="10.9" customHeight="1">
      <c r="B20" s="10" t="s">
        <v>22</v>
      </c>
      <c r="C20" s="11">
        <v>0</v>
      </c>
      <c r="D20" s="11">
        <v>0</v>
      </c>
      <c r="E20" s="11">
        <v>0</v>
      </c>
      <c r="F20" s="11">
        <v>0</v>
      </c>
      <c r="G20" s="11">
        <v>3516.35</v>
      </c>
      <c r="H20" s="11">
        <f>((((C20 + D20) + E20) + F20) + G20)</f>
        <v>3516.35</v>
      </c>
    </row>
    <row r="21" spans="1:8" ht="10.9" customHeight="1">
      <c r="B21" s="10" t="s">
        <v>23</v>
      </c>
      <c r="C21" s="11">
        <v>779.65</v>
      </c>
      <c r="D21" s="11">
        <v>0</v>
      </c>
      <c r="E21" s="11">
        <v>0</v>
      </c>
      <c r="F21" s="11">
        <v>0</v>
      </c>
      <c r="G21" s="11">
        <v>12353.43</v>
      </c>
      <c r="H21" s="11">
        <f>((((C21 + D21) + E21) + F21) + G21)</f>
        <v>13133.08</v>
      </c>
    </row>
    <row r="22" spans="1:8" ht="10.9" customHeight="1">
      <c r="B22" s="12" t="s">
        <v>24</v>
      </c>
      <c r="C22" s="13">
        <f>SUM(C15:C21)</f>
        <v>8182.83</v>
      </c>
      <c r="D22" s="13">
        <f>SUM(D15:D21)</f>
        <v>20577.150000000001</v>
      </c>
      <c r="E22" s="13">
        <f>SUM(E15:E21)</f>
        <v>58399.08</v>
      </c>
      <c r="F22" s="13">
        <f>SUM(F15:F21)</f>
        <v>0</v>
      </c>
      <c r="G22" s="13">
        <f>SUM(G15:G21)</f>
        <v>35264.21</v>
      </c>
      <c r="H22" s="13">
        <f>((((C22 + D22) + E22) + F22) + G22)</f>
        <v>122423.26999999999</v>
      </c>
    </row>
    <row r="23" spans="1:8" ht="10.9" customHeight="1">
      <c r="A23" s="9"/>
      <c r="B23" s="9" t="s">
        <v>25</v>
      </c>
      <c r="C23" s="9"/>
      <c r="D23" s="9"/>
      <c r="E23" s="9"/>
      <c r="F23" s="9"/>
      <c r="G23" s="9"/>
      <c r="H23" s="9"/>
    </row>
    <row r="24" spans="1:8" ht="10.9" customHeight="1">
      <c r="B24" s="10" t="s">
        <v>26</v>
      </c>
      <c r="C24" s="11">
        <v>2844.4</v>
      </c>
      <c r="D24" s="11">
        <v>0</v>
      </c>
      <c r="E24" s="11">
        <v>11617.72</v>
      </c>
      <c r="F24" s="11">
        <v>0</v>
      </c>
      <c r="G24" s="11">
        <v>1577.94</v>
      </c>
      <c r="H24" s="11">
        <f>((((C24 + D24) + E24) + F24) + G24)</f>
        <v>16040.06</v>
      </c>
    </row>
    <row r="25" spans="1:8" ht="10.9" customHeight="1">
      <c r="B25" s="10" t="s">
        <v>27</v>
      </c>
      <c r="C25" s="11">
        <v>238.94</v>
      </c>
      <c r="D25" s="11">
        <v>0</v>
      </c>
      <c r="E25" s="11">
        <v>226.07</v>
      </c>
      <c r="F25" s="11">
        <v>0</v>
      </c>
      <c r="G25" s="11">
        <v>0</v>
      </c>
      <c r="H25" s="11">
        <f>((((C25 + D25) + E25) + F25) + G25)</f>
        <v>465.01</v>
      </c>
    </row>
    <row r="26" spans="1:8" ht="10.9" customHeight="1">
      <c r="B26" s="10" t="s">
        <v>28</v>
      </c>
      <c r="C26" s="11">
        <v>3131.97</v>
      </c>
      <c r="D26" s="11">
        <v>0</v>
      </c>
      <c r="E26" s="11">
        <v>603.73</v>
      </c>
      <c r="F26" s="11">
        <v>0</v>
      </c>
      <c r="G26" s="11">
        <v>1095</v>
      </c>
      <c r="H26" s="11">
        <f>((((C26 + D26) + E26) + F26) + G26)</f>
        <v>4830.7</v>
      </c>
    </row>
    <row r="27" spans="1:8" ht="10.9" customHeight="1">
      <c r="B27" s="10" t="s">
        <v>29</v>
      </c>
      <c r="C27" s="11">
        <v>1111.32</v>
      </c>
      <c r="D27" s="11">
        <v>0</v>
      </c>
      <c r="E27" s="11">
        <v>1198</v>
      </c>
      <c r="F27" s="11">
        <v>0</v>
      </c>
      <c r="G27" s="11">
        <v>750</v>
      </c>
      <c r="H27" s="11">
        <f>((((C27 + D27) + E27) + F27) + G27)</f>
        <v>3059.3199999999997</v>
      </c>
    </row>
    <row r="28" spans="1:8" ht="10.9" customHeight="1">
      <c r="B28" s="10" t="s">
        <v>30</v>
      </c>
      <c r="C28" s="11">
        <v>0</v>
      </c>
      <c r="D28" s="11">
        <v>0</v>
      </c>
      <c r="E28" s="11">
        <v>263</v>
      </c>
      <c r="F28" s="11">
        <v>0</v>
      </c>
      <c r="G28" s="11">
        <v>504.48</v>
      </c>
      <c r="H28" s="11">
        <f>((((C28 + D28) + E28) + F28) + G28)</f>
        <v>767.48</v>
      </c>
    </row>
    <row r="29" spans="1:8" ht="10.9" customHeight="1">
      <c r="B29" s="12" t="s">
        <v>31</v>
      </c>
      <c r="C29" s="13">
        <f>SUM(C24:C28)</f>
        <v>7326.6299999999992</v>
      </c>
      <c r="D29" s="13">
        <f>SUM(D24:D28)</f>
        <v>0</v>
      </c>
      <c r="E29" s="13">
        <f>SUM(E24:E28)</f>
        <v>13908.519999999999</v>
      </c>
      <c r="F29" s="13">
        <f>SUM(F24:F28)</f>
        <v>0</v>
      </c>
      <c r="G29" s="13">
        <f>SUM(G24:G28)</f>
        <v>3927.42</v>
      </c>
      <c r="H29" s="13">
        <f>((((C29 + D29) + E29) + F29) + G29)</f>
        <v>25162.57</v>
      </c>
    </row>
    <row r="30" spans="1:8" ht="10.9" customHeight="1">
      <c r="A30" s="12" t="s">
        <v>32</v>
      </c>
      <c r="C30" s="13">
        <f>(0 + (C22 + C29))</f>
        <v>15509.46</v>
      </c>
      <c r="D30" s="13">
        <f>(0 + (D22 + D29))</f>
        <v>20577.150000000001</v>
      </c>
      <c r="E30" s="13">
        <f>(0 + (E22 + E29))</f>
        <v>72307.600000000006</v>
      </c>
      <c r="F30" s="13">
        <f>(0 + (F22 + F29))</f>
        <v>0</v>
      </c>
      <c r="G30" s="13">
        <f>(0 + (G22 + G29))</f>
        <v>39191.629999999997</v>
      </c>
      <c r="H30" s="13">
        <f>((((C30 + D30) + E30) + F30) + G30)</f>
        <v>147585.84</v>
      </c>
    </row>
    <row r="31" spans="1:8" ht="13.35" customHeight="1"/>
    <row r="32" spans="1:8" s="5" customFormat="1" ht="12.2" customHeight="1">
      <c r="A32" s="6" t="s">
        <v>33</v>
      </c>
      <c r="B32" s="6"/>
      <c r="C32" s="6"/>
      <c r="D32" s="6"/>
      <c r="E32" s="6"/>
      <c r="F32" s="6"/>
      <c r="G32" s="6"/>
      <c r="H32" s="6"/>
    </row>
    <row r="33" spans="1:8" ht="10.9" customHeight="1">
      <c r="A33" s="9"/>
      <c r="B33" s="9" t="s">
        <v>34</v>
      </c>
      <c r="C33" s="9"/>
      <c r="D33" s="9"/>
      <c r="E33" s="9"/>
      <c r="F33" s="9"/>
      <c r="G33" s="9"/>
      <c r="H33" s="9"/>
    </row>
    <row r="34" spans="1:8" ht="10.9" customHeight="1">
      <c r="B34" s="10" t="s">
        <v>35</v>
      </c>
      <c r="C34" s="11">
        <v>0</v>
      </c>
      <c r="D34" s="11">
        <v>0</v>
      </c>
      <c r="E34" s="11">
        <v>492.36</v>
      </c>
      <c r="F34" s="11">
        <v>0</v>
      </c>
      <c r="G34" s="11">
        <v>0</v>
      </c>
      <c r="H34" s="11">
        <f>((((C34 + D34) + E34) + F34) + G34)</f>
        <v>492.36</v>
      </c>
    </row>
    <row r="35" spans="1:8" ht="10.9" customHeight="1">
      <c r="B35" s="12" t="s">
        <v>36</v>
      </c>
      <c r="C35" s="13">
        <f>C34</f>
        <v>0</v>
      </c>
      <c r="D35" s="13">
        <f>D34</f>
        <v>0</v>
      </c>
      <c r="E35" s="13">
        <f>E34</f>
        <v>492.36</v>
      </c>
      <c r="F35" s="13">
        <f>F34</f>
        <v>0</v>
      </c>
      <c r="G35" s="13">
        <f>G34</f>
        <v>0</v>
      </c>
      <c r="H35" s="13">
        <f>((((C35 + D35) + E35) + F35) + G35)</f>
        <v>492.36</v>
      </c>
    </row>
    <row r="36" spans="1:8" ht="10.9" customHeight="1">
      <c r="A36" s="9"/>
      <c r="B36" s="9" t="s">
        <v>37</v>
      </c>
      <c r="C36" s="9"/>
      <c r="D36" s="9"/>
      <c r="E36" s="9"/>
      <c r="F36" s="9"/>
      <c r="G36" s="9"/>
      <c r="H36" s="9"/>
    </row>
    <row r="37" spans="1:8" ht="10.9" customHeight="1">
      <c r="B37" s="10" t="s">
        <v>38</v>
      </c>
      <c r="C37" s="11">
        <v>3426.17</v>
      </c>
      <c r="D37" s="11">
        <v>0</v>
      </c>
      <c r="E37" s="11">
        <v>0</v>
      </c>
      <c r="F37" s="11">
        <v>0</v>
      </c>
      <c r="G37" s="11">
        <v>387.68</v>
      </c>
      <c r="H37" s="11">
        <f>((((C37 + D37) + E37) + F37) + G37)</f>
        <v>3813.85</v>
      </c>
    </row>
    <row r="38" spans="1:8" ht="10.9" customHeight="1">
      <c r="B38" s="10" t="s">
        <v>39</v>
      </c>
      <c r="C38" s="11">
        <v>30.42</v>
      </c>
      <c r="D38" s="11">
        <v>48.95</v>
      </c>
      <c r="E38" s="11">
        <v>140.63</v>
      </c>
      <c r="F38" s="11">
        <v>0</v>
      </c>
      <c r="G38" s="11">
        <v>76.010000000000005</v>
      </c>
      <c r="H38" s="11">
        <f>((((C38 + D38) + E38) + F38) + G38)</f>
        <v>296.01</v>
      </c>
    </row>
    <row r="39" spans="1:8" ht="10.9" customHeight="1">
      <c r="B39" s="10" t="s">
        <v>40</v>
      </c>
      <c r="C39" s="11">
        <v>104.35</v>
      </c>
      <c r="D39" s="11">
        <v>-3204.51</v>
      </c>
      <c r="E39" s="11">
        <v>-5.85</v>
      </c>
      <c r="F39" s="11">
        <v>-69.069999999999993</v>
      </c>
      <c r="G39" s="11">
        <v>-2862.53</v>
      </c>
      <c r="H39" s="11">
        <f>((((C39 + D39) + E39) + F39) + G39)</f>
        <v>-6037.6100000000006</v>
      </c>
    </row>
    <row r="40" spans="1:8" ht="10.9" customHeight="1">
      <c r="B40" s="10" t="s">
        <v>41</v>
      </c>
      <c r="C40" s="11">
        <v>-2.7</v>
      </c>
      <c r="D40" s="11">
        <v>0</v>
      </c>
      <c r="E40" s="11">
        <v>315.20999999999998</v>
      </c>
      <c r="F40" s="11">
        <v>0</v>
      </c>
      <c r="G40" s="11">
        <v>0</v>
      </c>
      <c r="H40" s="11">
        <f>((((C40 + D40) + E40) + F40) + G40)</f>
        <v>312.51</v>
      </c>
    </row>
    <row r="41" spans="1:8" ht="10.9" customHeight="1">
      <c r="B41" s="10" t="s">
        <v>42</v>
      </c>
      <c r="C41" s="11">
        <v>0</v>
      </c>
      <c r="D41" s="11">
        <v>0</v>
      </c>
      <c r="E41" s="11">
        <v>-3.87</v>
      </c>
      <c r="F41" s="11">
        <v>0</v>
      </c>
      <c r="G41" s="11">
        <v>0</v>
      </c>
      <c r="H41" s="11">
        <f>((((C41 + D41) + E41) + F41) + G41)</f>
        <v>-3.87</v>
      </c>
    </row>
    <row r="42" spans="1:8" ht="10.9" customHeight="1">
      <c r="B42" s="12" t="s">
        <v>43</v>
      </c>
      <c r="C42" s="13">
        <f>SUM(C37:C41)</f>
        <v>3558.2400000000002</v>
      </c>
      <c r="D42" s="13">
        <f>SUM(D37:D41)</f>
        <v>-3155.5600000000004</v>
      </c>
      <c r="E42" s="13">
        <f>SUM(E37:E41)</f>
        <v>446.12</v>
      </c>
      <c r="F42" s="13">
        <f>SUM(F37:F41)</f>
        <v>-69.069999999999993</v>
      </c>
      <c r="G42" s="13">
        <f>SUM(G37:G41)</f>
        <v>-2398.84</v>
      </c>
      <c r="H42" s="13">
        <f>((((C42 + D42) + E42) + F42) + G42)</f>
        <v>-1619.1100000000004</v>
      </c>
    </row>
    <row r="43" spans="1:8" ht="10.9" customHeight="1">
      <c r="A43" s="9"/>
      <c r="B43" s="9" t="s">
        <v>44</v>
      </c>
      <c r="C43" s="9"/>
      <c r="D43" s="9"/>
      <c r="E43" s="9"/>
      <c r="F43" s="9"/>
      <c r="G43" s="9"/>
      <c r="H43" s="9"/>
    </row>
    <row r="44" spans="1:8" ht="10.9" customHeight="1">
      <c r="B44" s="10" t="s">
        <v>45</v>
      </c>
      <c r="C44" s="11">
        <v>0</v>
      </c>
      <c r="D44" s="11">
        <v>0</v>
      </c>
      <c r="E44" s="11">
        <v>5832.25</v>
      </c>
      <c r="F44" s="11">
        <v>0</v>
      </c>
      <c r="G44" s="11">
        <v>0</v>
      </c>
      <c r="H44" s="11">
        <f>((((C44 + D44) + E44) + F44) + G44)</f>
        <v>5832.25</v>
      </c>
    </row>
    <row r="45" spans="1:8" ht="10.9" customHeight="1">
      <c r="B45" s="12" t="s">
        <v>46</v>
      </c>
      <c r="C45" s="13">
        <f>C44</f>
        <v>0</v>
      </c>
      <c r="D45" s="13">
        <f>D44</f>
        <v>0</v>
      </c>
      <c r="E45" s="13">
        <f>E44</f>
        <v>5832.25</v>
      </c>
      <c r="F45" s="13">
        <f>F44</f>
        <v>0</v>
      </c>
      <c r="G45" s="13">
        <f>G44</f>
        <v>0</v>
      </c>
      <c r="H45" s="13">
        <f>((((C45 + D45) + E45) + F45) + G45)</f>
        <v>5832.25</v>
      </c>
    </row>
    <row r="46" spans="1:8" ht="10.9" customHeight="1">
      <c r="A46" s="9"/>
      <c r="B46" s="9" t="s">
        <v>47</v>
      </c>
      <c r="C46" s="9"/>
      <c r="D46" s="9"/>
      <c r="E46" s="9"/>
      <c r="F46" s="9"/>
      <c r="G46" s="9"/>
      <c r="H46" s="9"/>
    </row>
    <row r="47" spans="1:8" ht="10.9" customHeight="1">
      <c r="B47" s="10" t="s">
        <v>48</v>
      </c>
      <c r="C47" s="11">
        <v>0</v>
      </c>
      <c r="D47" s="11">
        <v>0</v>
      </c>
      <c r="E47" s="11">
        <v>204.9</v>
      </c>
      <c r="F47" s="11">
        <v>0</v>
      </c>
      <c r="G47" s="11">
        <v>0</v>
      </c>
      <c r="H47" s="11">
        <f>((((C47 + D47) + E47) + F47) + G47)</f>
        <v>204.9</v>
      </c>
    </row>
    <row r="48" spans="1:8" ht="10.9" customHeight="1">
      <c r="B48" s="10" t="s">
        <v>49</v>
      </c>
      <c r="C48" s="11">
        <v>0</v>
      </c>
      <c r="D48" s="11">
        <v>0</v>
      </c>
      <c r="E48" s="11">
        <v>12698.87</v>
      </c>
      <c r="F48" s="11">
        <v>0</v>
      </c>
      <c r="G48" s="11">
        <v>0</v>
      </c>
      <c r="H48" s="11">
        <f>((((C48 + D48) + E48) + F48) + G48)</f>
        <v>12698.87</v>
      </c>
    </row>
    <row r="49" spans="1:8" ht="10.9" customHeight="1">
      <c r="B49" s="10" t="s">
        <v>50</v>
      </c>
      <c r="C49" s="11">
        <v>0</v>
      </c>
      <c r="D49" s="11">
        <v>0</v>
      </c>
      <c r="E49" s="11">
        <v>5552.31</v>
      </c>
      <c r="F49" s="11">
        <v>0</v>
      </c>
      <c r="G49" s="11">
        <v>0</v>
      </c>
      <c r="H49" s="11">
        <f>((((C49 + D49) + E49) + F49) + G49)</f>
        <v>5552.31</v>
      </c>
    </row>
    <row r="50" spans="1:8" ht="10.9" customHeight="1">
      <c r="B50" s="12" t="s">
        <v>51</v>
      </c>
      <c r="C50" s="13">
        <f>SUM(C47:C49)</f>
        <v>0</v>
      </c>
      <c r="D50" s="13">
        <f>SUM(D47:D49)</f>
        <v>0</v>
      </c>
      <c r="E50" s="13">
        <f>SUM(E47:E49)</f>
        <v>18456.080000000002</v>
      </c>
      <c r="F50" s="13">
        <f>SUM(F47:F49)</f>
        <v>0</v>
      </c>
      <c r="G50" s="13">
        <f>SUM(G47:G49)</f>
        <v>0</v>
      </c>
      <c r="H50" s="13">
        <f>((((C50 + D50) + E50) + F50) + G50)</f>
        <v>18456.080000000002</v>
      </c>
    </row>
    <row r="51" spans="1:8" ht="10.9" customHeight="1">
      <c r="A51" s="12" t="s">
        <v>52</v>
      </c>
      <c r="C51" s="13">
        <f>(0 + (((C35 + C42) + C45) + C50))</f>
        <v>3558.2400000000002</v>
      </c>
      <c r="D51" s="13">
        <f>(0 + (((D35 + D42) + D45) + D50))</f>
        <v>-3155.5600000000004</v>
      </c>
      <c r="E51" s="13">
        <f>(0 + (((E35 + E42) + E45) + E50))</f>
        <v>25226.81</v>
      </c>
      <c r="F51" s="13">
        <f>(0 + (((F35 + F42) + F45) + F50))</f>
        <v>-69.069999999999993</v>
      </c>
      <c r="G51" s="13">
        <f>(0 + (((G35 + G42) + G45) + G50))</f>
        <v>-2398.84</v>
      </c>
      <c r="H51" s="13">
        <f>((((C51 + D51) + E51) + F51) + G51)</f>
        <v>23161.58</v>
      </c>
    </row>
    <row r="52" spans="1:8" ht="13.35" customHeight="1"/>
    <row r="53" spans="1:8" ht="10.9" customHeight="1">
      <c r="B53" s="14" t="s">
        <v>53</v>
      </c>
      <c r="C53" s="15">
        <f>(((C11 - C30) + 0) - C51)</f>
        <v>-19067.7</v>
      </c>
      <c r="D53" s="15">
        <f>(((D11 - D30) + 0) - D51)</f>
        <v>-17421.59</v>
      </c>
      <c r="E53" s="15">
        <f>(((E11 - E30) + 0) - E51)</f>
        <v>-97534.41</v>
      </c>
      <c r="F53" s="15">
        <f>(((F11 - F30) + 0) - F51)</f>
        <v>1599.6599999999999</v>
      </c>
      <c r="G53" s="15">
        <f>(((G11 - G30) + 0) - G51)</f>
        <v>-36792.789999999994</v>
      </c>
      <c r="H53" s="15">
        <f>((((C53 + D53) + E53) + F53) + G53)</f>
        <v>-169216.83000000002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0"/>
  <sheetViews>
    <sheetView showGridLines="0" zoomScaleNormal="100" workbookViewId="0"/>
  </sheetViews>
  <sheetFormatPr defaultRowHeight="12.75"/>
  <cols>
    <col min="1" max="1" width="23.42578125" customWidth="1"/>
    <col min="2" max="2" width="16" customWidth="1"/>
  </cols>
  <sheetData>
    <row r="1" spans="1:2" s="1" customFormat="1" ht="16.7" customHeight="1">
      <c r="A1" s="2" t="s">
        <v>54</v>
      </c>
      <c r="B1" s="2"/>
    </row>
    <row r="2" spans="1:2" s="3" customFormat="1" ht="14.45" customHeight="1">
      <c r="A2" s="4" t="s">
        <v>1</v>
      </c>
      <c r="B2" s="4"/>
    </row>
    <row r="3" spans="1:2" s="3" customFormat="1" ht="14.45" customHeight="1">
      <c r="A3" s="4" t="s">
        <v>2</v>
      </c>
      <c r="B3" s="4"/>
    </row>
    <row r="4" spans="1:2" ht="13.35" customHeight="1"/>
    <row r="5" spans="1:2" s="5" customFormat="1" ht="12.2" customHeight="1">
      <c r="A5" s="7" t="s">
        <v>3</v>
      </c>
      <c r="B5" s="8" t="s">
        <v>55</v>
      </c>
    </row>
    <row r="6" spans="1:2" ht="13.35" customHeight="1"/>
    <row r="7" spans="1:2" s="5" customFormat="1" ht="12.2" customHeight="1">
      <c r="A7" s="6" t="s">
        <v>56</v>
      </c>
      <c r="B7" s="6"/>
    </row>
    <row r="8" spans="1:2" ht="10.9" customHeight="1">
      <c r="A8" s="16" t="s">
        <v>12</v>
      </c>
      <c r="B8" s="17">
        <v>1530.59</v>
      </c>
    </row>
    <row r="9" spans="1:2" ht="10.9" customHeight="1">
      <c r="A9" s="12" t="s">
        <v>57</v>
      </c>
      <c r="B9" s="13">
        <f>B8</f>
        <v>1530.59</v>
      </c>
    </row>
    <row r="10" spans="1:2" ht="13.35" customHeight="1"/>
    <row r="11" spans="1:2" s="5" customFormat="1" ht="12.2" customHeight="1">
      <c r="A11" s="6" t="s">
        <v>58</v>
      </c>
      <c r="B11" s="6"/>
    </row>
    <row r="12" spans="1:2" ht="10.9" customHeight="1">
      <c r="A12" s="16" t="s">
        <v>28</v>
      </c>
      <c r="B12" s="17">
        <v>4830.7</v>
      </c>
    </row>
    <row r="13" spans="1:2" ht="10.9" customHeight="1">
      <c r="A13" s="10" t="s">
        <v>19</v>
      </c>
      <c r="B13" s="11">
        <v>6290.72</v>
      </c>
    </row>
    <row r="14" spans="1:2" ht="10.9" customHeight="1">
      <c r="A14" s="10" t="s">
        <v>27</v>
      </c>
      <c r="B14" s="11">
        <v>465.01</v>
      </c>
    </row>
    <row r="15" spans="1:2" ht="10.9" customHeight="1">
      <c r="A15" s="10" t="s">
        <v>17</v>
      </c>
      <c r="B15" s="11">
        <v>32160.76</v>
      </c>
    </row>
    <row r="16" spans="1:2" ht="10.9" customHeight="1">
      <c r="A16" s="10" t="s">
        <v>26</v>
      </c>
      <c r="B16" s="11">
        <v>16040.06</v>
      </c>
    </row>
    <row r="17" spans="1:2" ht="10.9" customHeight="1">
      <c r="A17" s="10" t="s">
        <v>30</v>
      </c>
      <c r="B17" s="11">
        <v>767.48</v>
      </c>
    </row>
    <row r="18" spans="1:2" ht="10.9" customHeight="1">
      <c r="A18" s="10" t="s">
        <v>20</v>
      </c>
      <c r="B18" s="11">
        <v>378.27</v>
      </c>
    </row>
    <row r="19" spans="1:2" ht="10.9" customHeight="1">
      <c r="A19" s="10" t="s">
        <v>21</v>
      </c>
      <c r="B19" s="11">
        <v>39993.46</v>
      </c>
    </row>
    <row r="20" spans="1:2" ht="10.9" customHeight="1">
      <c r="A20" s="10" t="s">
        <v>29</v>
      </c>
      <c r="B20" s="11">
        <v>3059.32</v>
      </c>
    </row>
    <row r="21" spans="1:2" ht="10.9" customHeight="1">
      <c r="A21" s="10" t="s">
        <v>18</v>
      </c>
      <c r="B21" s="11">
        <v>26950.63</v>
      </c>
    </row>
    <row r="22" spans="1:2" ht="10.9" customHeight="1">
      <c r="A22" s="10" t="s">
        <v>23</v>
      </c>
      <c r="B22" s="11">
        <v>13133.08</v>
      </c>
    </row>
    <row r="23" spans="1:2" ht="10.9" customHeight="1">
      <c r="A23" s="10" t="s">
        <v>22</v>
      </c>
      <c r="B23" s="11">
        <v>3516.35</v>
      </c>
    </row>
    <row r="24" spans="1:2" ht="10.9" customHeight="1">
      <c r="A24" s="12" t="s">
        <v>59</v>
      </c>
      <c r="B24" s="13">
        <f>SUM(B12:B23)</f>
        <v>147585.84</v>
      </c>
    </row>
    <row r="25" spans="1:2" ht="13.35" customHeight="1"/>
    <row r="26" spans="1:2" s="5" customFormat="1" ht="12.2" customHeight="1">
      <c r="A26" s="6" t="s">
        <v>33</v>
      </c>
      <c r="B26" s="6"/>
    </row>
    <row r="27" spans="1:2" ht="10.9" customHeight="1">
      <c r="A27" s="16" t="s">
        <v>38</v>
      </c>
      <c r="B27" s="17">
        <v>3838.32</v>
      </c>
    </row>
    <row r="28" spans="1:2" ht="10.9" customHeight="1">
      <c r="A28" s="10" t="s">
        <v>39</v>
      </c>
      <c r="B28" s="11">
        <v>336.25</v>
      </c>
    </row>
    <row r="29" spans="1:2" ht="10.9" customHeight="1">
      <c r="A29" s="10" t="s">
        <v>40</v>
      </c>
      <c r="B29" s="11">
        <v>-6172.76</v>
      </c>
    </row>
    <row r="30" spans="1:2" ht="10.9" customHeight="1">
      <c r="A30" s="10" t="s">
        <v>48</v>
      </c>
      <c r="B30" s="11">
        <v>204.9</v>
      </c>
    </row>
    <row r="31" spans="1:2" ht="10.9" customHeight="1">
      <c r="A31" s="10" t="s">
        <v>45</v>
      </c>
      <c r="B31" s="11">
        <v>5832.25</v>
      </c>
    </row>
    <row r="32" spans="1:2" ht="10.9" customHeight="1">
      <c r="A32" s="10" t="s">
        <v>60</v>
      </c>
      <c r="B32" s="11">
        <v>210.14</v>
      </c>
    </row>
    <row r="33" spans="1:2" ht="10.9" customHeight="1">
      <c r="A33" s="10" t="s">
        <v>35</v>
      </c>
      <c r="B33" s="11">
        <v>492.36</v>
      </c>
    </row>
    <row r="34" spans="1:2" ht="10.9" customHeight="1">
      <c r="A34" s="10" t="s">
        <v>50</v>
      </c>
      <c r="B34" s="11">
        <v>5552.31</v>
      </c>
    </row>
    <row r="35" spans="1:2" ht="10.9" customHeight="1">
      <c r="A35" s="10" t="s">
        <v>41</v>
      </c>
      <c r="B35" s="11">
        <v>312.51</v>
      </c>
    </row>
    <row r="36" spans="1:2" ht="10.9" customHeight="1">
      <c r="A36" s="10" t="s">
        <v>49</v>
      </c>
      <c r="B36" s="11">
        <v>12698.87</v>
      </c>
    </row>
    <row r="37" spans="1:2" ht="10.9" customHeight="1">
      <c r="A37" s="10" t="s">
        <v>42</v>
      </c>
      <c r="B37" s="11">
        <v>-3.87</v>
      </c>
    </row>
    <row r="38" spans="1:2" ht="10.9" customHeight="1">
      <c r="A38" s="12" t="s">
        <v>52</v>
      </c>
      <c r="B38" s="13">
        <f>SUM(B27:B37)</f>
        <v>23301.280000000002</v>
      </c>
    </row>
    <row r="39" spans="1:2" ht="13.35" customHeight="1"/>
    <row r="40" spans="1:2" ht="10.9" customHeight="1">
      <c r="A40" s="14" t="s">
        <v>53</v>
      </c>
      <c r="B40" s="15">
        <f>(((B9 - B24) + 0) - B38)</f>
        <v>-169356.53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6"/>
  <sheetViews>
    <sheetView showGridLines="0" zoomScaleNormal="100" workbookViewId="0"/>
  </sheetViews>
  <sheetFormatPr defaultRowHeight="12.75"/>
  <cols>
    <col min="1" max="1" width="1.42578125" customWidth="1"/>
    <col min="2" max="2" width="51.85546875" customWidth="1"/>
    <col min="3" max="3" width="14.42578125" customWidth="1"/>
    <col min="4" max="4" width="5.42578125" customWidth="1"/>
  </cols>
  <sheetData>
    <row r="1" spans="1:4" s="1" customFormat="1" ht="16.7" customHeight="1">
      <c r="A1" s="2" t="s">
        <v>61</v>
      </c>
      <c r="B1" s="2"/>
      <c r="C1" s="2"/>
      <c r="D1" s="2"/>
    </row>
    <row r="2" spans="1:4" s="3" customFormat="1" ht="14.45" customHeight="1">
      <c r="A2" s="4" t="s">
        <v>1</v>
      </c>
      <c r="B2" s="4"/>
      <c r="C2" s="4"/>
      <c r="D2" s="4"/>
    </row>
    <row r="3" spans="1:4" s="3" customFormat="1" ht="14.45" customHeight="1">
      <c r="A3" s="4" t="s">
        <v>62</v>
      </c>
      <c r="B3" s="4"/>
      <c r="C3" s="4"/>
      <c r="D3" s="4"/>
    </row>
    <row r="4" spans="1:4" ht="13.35" customHeight="1"/>
    <row r="5" spans="1:4" s="5" customFormat="1" ht="12.2" customHeight="1">
      <c r="A5" s="6"/>
      <c r="B5" s="7" t="s">
        <v>3</v>
      </c>
      <c r="C5" s="8" t="s">
        <v>63</v>
      </c>
      <c r="D5" s="8"/>
    </row>
    <row r="6" spans="1:4" ht="13.35" customHeight="1"/>
    <row r="7" spans="1:4" s="5" customFormat="1" ht="12.2" customHeight="1">
      <c r="A7" s="6" t="s">
        <v>64</v>
      </c>
      <c r="B7" s="6"/>
      <c r="C7" s="6"/>
      <c r="D7" s="6"/>
    </row>
    <row r="8" spans="1:4" ht="10.9" customHeight="1">
      <c r="A8" s="9"/>
      <c r="B8" s="9" t="s">
        <v>65</v>
      </c>
      <c r="C8" s="9"/>
      <c r="D8" s="9"/>
    </row>
    <row r="9" spans="1:4" ht="10.9" customHeight="1">
      <c r="B9" s="10" t="s">
        <v>66</v>
      </c>
      <c r="C9" s="11">
        <v>134121.73000000001</v>
      </c>
      <c r="D9" s="10" t="s">
        <v>67</v>
      </c>
    </row>
    <row r="10" spans="1:4" ht="10.9" customHeight="1">
      <c r="B10" s="10" t="s">
        <v>68</v>
      </c>
      <c r="C10" s="11">
        <v>1033.4000000000001</v>
      </c>
      <c r="D10" s="10" t="s">
        <v>67</v>
      </c>
    </row>
    <row r="11" spans="1:4" ht="10.9" customHeight="1">
      <c r="B11" s="10" t="s">
        <v>69</v>
      </c>
      <c r="C11" s="11">
        <v>118877.97</v>
      </c>
      <c r="D11" s="10"/>
    </row>
    <row r="12" spans="1:4" ht="10.9" customHeight="1">
      <c r="B12" s="12" t="s">
        <v>70</v>
      </c>
      <c r="C12" s="13">
        <f>SUM(C9:C11)</f>
        <v>254033.1</v>
      </c>
      <c r="D12" s="12"/>
    </row>
    <row r="13" spans="1:4" ht="10.9" customHeight="1">
      <c r="A13" s="9"/>
      <c r="B13" s="9" t="s">
        <v>71</v>
      </c>
      <c r="C13" s="9"/>
      <c r="D13" s="9"/>
    </row>
    <row r="14" spans="1:4" ht="10.9" customHeight="1">
      <c r="B14" s="10" t="s">
        <v>72</v>
      </c>
      <c r="C14" s="11">
        <v>1657.07</v>
      </c>
      <c r="D14" s="10"/>
    </row>
    <row r="15" spans="1:4" ht="10.9" customHeight="1">
      <c r="B15" s="10" t="s">
        <v>73</v>
      </c>
      <c r="C15" s="11">
        <v>-256.17</v>
      </c>
      <c r="D15" s="10"/>
    </row>
    <row r="16" spans="1:4" ht="10.9" customHeight="1">
      <c r="B16" s="12" t="s">
        <v>74</v>
      </c>
      <c r="C16" s="13">
        <f>SUM(C14:C15)</f>
        <v>1400.8999999999999</v>
      </c>
      <c r="D16" s="12"/>
    </row>
    <row r="17" spans="1:4" ht="10.9" customHeight="1">
      <c r="A17" s="12" t="s">
        <v>75</v>
      </c>
      <c r="C17" s="13">
        <f>(0 + (C12 + C16))</f>
        <v>255434</v>
      </c>
      <c r="D17" s="12"/>
    </row>
    <row r="18" spans="1:4" ht="13.35" customHeight="1"/>
    <row r="19" spans="1:4" s="5" customFormat="1" ht="12.2" customHeight="1">
      <c r="A19" s="6" t="s">
        <v>76</v>
      </c>
      <c r="B19" s="6"/>
      <c r="C19" s="6"/>
      <c r="D19" s="6"/>
    </row>
    <row r="20" spans="1:4" ht="10.9" customHeight="1">
      <c r="A20" s="9"/>
      <c r="B20" s="9" t="s">
        <v>77</v>
      </c>
      <c r="C20" s="9"/>
      <c r="D20" s="9"/>
    </row>
    <row r="21" spans="1:4" ht="10.9" customHeight="1">
      <c r="B21" s="10" t="s">
        <v>78</v>
      </c>
      <c r="C21" s="11">
        <v>6395.08</v>
      </c>
      <c r="D21" s="10" t="s">
        <v>67</v>
      </c>
    </row>
    <row r="22" spans="1:4" ht="10.9" customHeight="1">
      <c r="B22" s="12" t="s">
        <v>79</v>
      </c>
      <c r="C22" s="13">
        <f>C21</f>
        <v>6395.08</v>
      </c>
      <c r="D22" s="12"/>
    </row>
    <row r="23" spans="1:4" ht="10.9" customHeight="1">
      <c r="A23" s="12" t="s">
        <v>80</v>
      </c>
      <c r="C23" s="13">
        <f>(0 + C22)</f>
        <v>6395.08</v>
      </c>
      <c r="D23" s="12"/>
    </row>
    <row r="24" spans="1:4" ht="13.35" customHeight="1"/>
    <row r="25" spans="1:4" ht="10.9" customHeight="1">
      <c r="B25" s="14" t="s">
        <v>81</v>
      </c>
      <c r="C25" s="15">
        <f>(C17 - C23)</f>
        <v>249038.92</v>
      </c>
      <c r="D25" s="14"/>
    </row>
    <row r="26" spans="1:4" ht="13.35" customHeight="1"/>
    <row r="27" spans="1:4" s="5" customFormat="1" ht="12.2" customHeight="1">
      <c r="A27" s="6" t="s">
        <v>82</v>
      </c>
      <c r="B27" s="6"/>
      <c r="C27" s="6"/>
      <c r="D27" s="6"/>
    </row>
    <row r="28" spans="1:4" ht="10.9" customHeight="1">
      <c r="B28" s="16" t="s">
        <v>83</v>
      </c>
      <c r="C28" s="17">
        <v>-169356.53</v>
      </c>
      <c r="D28" s="16"/>
    </row>
    <row r="29" spans="1:4" ht="10.9" customHeight="1">
      <c r="B29" s="10" t="s">
        <v>84</v>
      </c>
      <c r="C29" s="11">
        <v>418395.45</v>
      </c>
      <c r="D29" s="10"/>
    </row>
    <row r="30" spans="1:4" ht="10.9" customHeight="1">
      <c r="A30" s="12" t="s">
        <v>85</v>
      </c>
      <c r="C30" s="13">
        <f>SUM(C28:C29)</f>
        <v>249038.92</v>
      </c>
      <c r="D30" s="12"/>
    </row>
    <row r="31" spans="1:4" ht="13.35" customHeight="1"/>
    <row r="32" spans="1:4" ht="13.35" customHeight="1"/>
    <row r="33" spans="1:1" ht="10.9" customHeight="1">
      <c r="A33" s="18" t="s">
        <v>86</v>
      </c>
    </row>
    <row r="34" spans="1:1" ht="10.9" customHeight="1">
      <c r="A34" s="19" t="s">
        <v>63</v>
      </c>
    </row>
    <row r="35" spans="1:1" ht="10.9" customHeight="1">
      <c r="A35" s="18" t="s">
        <v>87</v>
      </c>
    </row>
    <row r="36" spans="1:1" ht="10.9" customHeight="1">
      <c r="A36" s="18" t="s">
        <v>88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4"/>
  <sheetViews>
    <sheetView showGridLines="0" zoomScaleNormal="100" workbookViewId="0"/>
  </sheetViews>
  <sheetFormatPr defaultRowHeight="12.75"/>
  <cols>
    <col min="1" max="1" width="52.42578125" customWidth="1"/>
  </cols>
  <sheetData>
    <row r="1" spans="1:1" s="1" customFormat="1" ht="16.7" customHeight="1">
      <c r="A1" s="2" t="s">
        <v>89</v>
      </c>
    </row>
    <row r="2" spans="1:1" s="3" customFormat="1" ht="14.45" customHeight="1">
      <c r="A2" s="4" t="s">
        <v>1</v>
      </c>
    </row>
    <row r="3" spans="1:1" s="3" customFormat="1" ht="14.45" customHeight="1">
      <c r="A3" s="4" t="s">
        <v>62</v>
      </c>
    </row>
    <row r="4" spans="1:1" s="3" customFormat="1" ht="14.45" customHeight="1">
      <c r="A4" s="4" t="s">
        <v>90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0"/>
  <sheetViews>
    <sheetView showGridLines="0" zoomScaleNormal="100" workbookViewId="0"/>
  </sheetViews>
  <sheetFormatPr defaultRowHeight="12.75"/>
  <cols>
    <col min="1" max="1" width="29.28515625" customWidth="1"/>
    <col min="2" max="2" width="9.85546875" customWidth="1"/>
    <col min="3" max="3" width="5.42578125" customWidth="1"/>
    <col min="4" max="4" width="12.140625" customWidth="1"/>
    <col min="5" max="5" width="10.28515625" customWidth="1"/>
    <col min="6" max="7" width="11.140625" customWidth="1"/>
    <col min="8" max="8" width="7.28515625" customWidth="1"/>
    <col min="9" max="9" width="6.85546875" customWidth="1"/>
  </cols>
  <sheetData>
    <row r="1" spans="1:9" s="1" customFormat="1" ht="16.7" customHeight="1">
      <c r="A1" s="2" t="s">
        <v>91</v>
      </c>
      <c r="B1" s="2"/>
      <c r="C1" s="2"/>
      <c r="D1" s="2"/>
      <c r="E1" s="2"/>
      <c r="F1" s="2"/>
      <c r="G1" s="2"/>
      <c r="H1" s="2"/>
      <c r="I1" s="2"/>
    </row>
    <row r="2" spans="1:9" s="3" customFormat="1" ht="14.45" customHeight="1">
      <c r="A2" s="4" t="s">
        <v>1</v>
      </c>
      <c r="B2" s="4"/>
      <c r="C2" s="4"/>
      <c r="D2" s="4"/>
      <c r="E2" s="4"/>
      <c r="F2" s="4"/>
      <c r="G2" s="4"/>
      <c r="H2" s="4"/>
      <c r="I2" s="4"/>
    </row>
    <row r="3" spans="1:9" s="3" customFormat="1" ht="14.45" customHeight="1">
      <c r="A3" s="4" t="s">
        <v>62</v>
      </c>
      <c r="B3" s="4"/>
      <c r="C3" s="4"/>
      <c r="D3" s="4"/>
      <c r="E3" s="4"/>
      <c r="F3" s="4"/>
      <c r="G3" s="4"/>
      <c r="H3" s="4"/>
      <c r="I3" s="4"/>
    </row>
    <row r="4" spans="1:9" s="3" customFormat="1" ht="14.45" customHeight="1">
      <c r="A4" s="4" t="s">
        <v>90</v>
      </c>
      <c r="B4" s="4"/>
      <c r="C4" s="4"/>
      <c r="D4" s="4"/>
      <c r="E4" s="4"/>
      <c r="F4" s="4"/>
      <c r="G4" s="4"/>
      <c r="H4" s="4"/>
      <c r="I4" s="4"/>
    </row>
    <row r="5" spans="1:9" ht="13.35" customHeight="1"/>
    <row r="6" spans="1:9" s="5" customFormat="1" ht="12.2" customHeight="1">
      <c r="A6" s="7" t="s">
        <v>92</v>
      </c>
      <c r="B6" s="8" t="s">
        <v>93</v>
      </c>
      <c r="C6" s="8"/>
      <c r="D6" s="8" t="s">
        <v>94</v>
      </c>
      <c r="E6" s="8" t="s">
        <v>95</v>
      </c>
      <c r="F6" s="8" t="s">
        <v>96</v>
      </c>
      <c r="G6" s="8" t="s">
        <v>97</v>
      </c>
      <c r="H6" s="8" t="s">
        <v>98</v>
      </c>
      <c r="I6" s="8" t="s">
        <v>9</v>
      </c>
    </row>
    <row r="7" spans="1:9" ht="13.35" customHeight="1"/>
    <row r="8" spans="1:9" s="5" customFormat="1" ht="12.2" customHeight="1">
      <c r="A8" s="6" t="s">
        <v>99</v>
      </c>
      <c r="B8" s="6"/>
      <c r="C8" s="6"/>
      <c r="D8" s="6"/>
      <c r="E8" s="6"/>
      <c r="F8" s="6"/>
      <c r="G8" s="6"/>
      <c r="H8" s="6"/>
      <c r="I8" s="6"/>
    </row>
    <row r="9" spans="1:9" ht="10.9" customHeight="1">
      <c r="A9" s="16" t="s">
        <v>100</v>
      </c>
      <c r="B9" s="17">
        <v>1395.08</v>
      </c>
      <c r="C9" s="16" t="s">
        <v>67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1395.08</v>
      </c>
    </row>
    <row r="10" spans="1:9" ht="10.9" customHeight="1">
      <c r="A10" s="10" t="s">
        <v>101</v>
      </c>
      <c r="B10" s="11">
        <v>5000</v>
      </c>
      <c r="C10" s="10"/>
      <c r="D10" s="11">
        <v>0</v>
      </c>
      <c r="E10" s="11">
        <v>0</v>
      </c>
      <c r="F10" s="11">
        <v>0</v>
      </c>
      <c r="G10" s="11">
        <v>0</v>
      </c>
      <c r="H10" s="11">
        <v>0</v>
      </c>
      <c r="I10" s="11">
        <v>5000</v>
      </c>
    </row>
    <row r="11" spans="1:9" ht="10.9" customHeight="1">
      <c r="A11" s="12" t="s">
        <v>102</v>
      </c>
      <c r="B11" s="13">
        <f>SUM(B9:B10)</f>
        <v>6395.08</v>
      </c>
      <c r="C11" s="12"/>
      <c r="D11" s="13">
        <f>SUM(D9:D10)</f>
        <v>0</v>
      </c>
      <c r="E11" s="13">
        <f>SUM(E9:E10)</f>
        <v>0</v>
      </c>
      <c r="F11" s="13">
        <f>SUM(F9:F10)</f>
        <v>0</v>
      </c>
      <c r="G11" s="13">
        <f>SUM(G9:G10)</f>
        <v>0</v>
      </c>
      <c r="H11" s="13">
        <f>SUM(H9:H10)</f>
        <v>0</v>
      </c>
      <c r="I11" s="13">
        <f>SUM(I9:I10)</f>
        <v>6395.08</v>
      </c>
    </row>
    <row r="12" spans="1:9" ht="13.35" customHeight="1"/>
    <row r="13" spans="1:9" ht="10.9" customHeight="1">
      <c r="A13" s="14" t="s">
        <v>9</v>
      </c>
      <c r="B13" s="15">
        <f>B11</f>
        <v>6395.08</v>
      </c>
      <c r="C13" s="14"/>
      <c r="D13" s="15">
        <f>D11</f>
        <v>0</v>
      </c>
      <c r="E13" s="15">
        <f>E11</f>
        <v>0</v>
      </c>
      <c r="F13" s="15">
        <f>F11</f>
        <v>0</v>
      </c>
      <c r="G13" s="15">
        <f>G11</f>
        <v>0</v>
      </c>
      <c r="H13" s="15">
        <f>H11</f>
        <v>0</v>
      </c>
      <c r="I13" s="15">
        <f>I11</f>
        <v>6395.08</v>
      </c>
    </row>
    <row r="14" spans="1:9" ht="13.35" customHeight="1"/>
    <row r="15" spans="1:9" ht="10.9" customHeight="1">
      <c r="A15" s="14" t="s">
        <v>103</v>
      </c>
      <c r="B15" s="20">
        <f>0</f>
        <v>0</v>
      </c>
      <c r="C15" s="14"/>
      <c r="D15" s="20">
        <f>0</f>
        <v>0</v>
      </c>
      <c r="E15" s="20">
        <f>0</f>
        <v>0</v>
      </c>
      <c r="F15" s="20">
        <f>0</f>
        <v>0</v>
      </c>
      <c r="G15" s="20">
        <f>0</f>
        <v>0</v>
      </c>
      <c r="H15" s="20">
        <f>0</f>
        <v>0</v>
      </c>
      <c r="I15" s="20">
        <f>0</f>
        <v>0</v>
      </c>
    </row>
    <row r="16" spans="1:9" ht="13.35" customHeight="1"/>
    <row r="17" spans="1:1" ht="13.35" customHeight="1"/>
    <row r="18" spans="1:1" ht="10.9" customHeight="1">
      <c r="A18" s="18" t="s">
        <v>86</v>
      </c>
    </row>
    <row r="19" spans="1:1" ht="10.9" customHeight="1">
      <c r="A19" s="19" t="s">
        <v>63</v>
      </c>
    </row>
    <row r="20" spans="1:1" ht="10.9" customHeight="1">
      <c r="A20" s="18" t="s">
        <v>88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A3978FD413154468326E670F04C8B06" ma:contentTypeVersion="15" ma:contentTypeDescription="Create a new document." ma:contentTypeScope="" ma:versionID="d5e460359aee45aa38ce2cd77256452e">
  <xsd:schema xmlns:xsd="http://www.w3.org/2001/XMLSchema" xmlns:xs="http://www.w3.org/2001/XMLSchema" xmlns:p="http://schemas.microsoft.com/office/2006/metadata/properties" xmlns:ns2="d6eed3e6-46d3-4982-9a52-77b9f88a950f" xmlns:ns3="1992903e-44a0-434f-abaa-25872a393aed" targetNamespace="http://schemas.microsoft.com/office/2006/metadata/properties" ma:root="true" ma:fieldsID="e4222fcf9dbb7455473047f1dcf9c5d1" ns2:_="" ns3:_="">
    <xsd:import namespace="d6eed3e6-46d3-4982-9a52-77b9f88a950f"/>
    <xsd:import namespace="1992903e-44a0-434f-abaa-25872a393ae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eed3e6-46d3-4982-9a52-77b9f88a950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2a7b472-6be5-406d-bbd5-0a2d8832cdc6}" ma:internalName="TaxCatchAll" ma:showField="CatchAllData" ma:web="d6eed3e6-46d3-4982-9a52-77b9f88a95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92903e-44a0-434f-abaa-25872a393a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c9ed0b52-a196-47b6-8260-1695e528139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92903e-44a0-434f-abaa-25872a393aed">
      <Terms xmlns="http://schemas.microsoft.com/office/infopath/2007/PartnerControls"/>
    </lcf76f155ced4ddcb4097134ff3c332f>
    <TaxCatchAll xmlns="d6eed3e6-46d3-4982-9a52-77b9f88a950f" xsi:nil="true"/>
  </documentManagement>
</p:properties>
</file>

<file path=customXml/itemProps1.xml><?xml version="1.0" encoding="utf-8"?>
<ds:datastoreItem xmlns:ds="http://schemas.openxmlformats.org/officeDocument/2006/customXml" ds:itemID="{39F58283-E253-43BB-9838-9E448EFDA6A1}"/>
</file>

<file path=customXml/itemProps2.xml><?xml version="1.0" encoding="utf-8"?>
<ds:datastoreItem xmlns:ds="http://schemas.openxmlformats.org/officeDocument/2006/customXml" ds:itemID="{1791C6E7-A351-4E9B-B710-31D02650F77B}"/>
</file>

<file path=customXml/itemProps3.xml><?xml version="1.0" encoding="utf-8"?>
<ds:datastoreItem xmlns:ds="http://schemas.openxmlformats.org/officeDocument/2006/customXml" ds:itemID="{225090AE-306A-4A35-8577-2A73EDC7695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SK Das</cp:lastModifiedBy>
  <cp:revision/>
  <dcterms:created xsi:type="dcterms:W3CDTF">2026-02-16T09:09:47Z</dcterms:created>
  <dcterms:modified xsi:type="dcterms:W3CDTF">2026-02-16T09:09:47Z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0x0101005A3978FD413154468326E670F04C8B06</vt:lpwstr>
  </property>
  <property fmtid="{D5CDD505-2E9C-101B-9397-08002B2CF9AE}" pid="3" name="MediaServiceImageTags">
    <vt:lpwstr/>
  </property>
</Properties>
</file>