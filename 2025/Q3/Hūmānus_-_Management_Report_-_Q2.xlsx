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 - VAI" sheetId="1" r:id="rId1"/>
    <sheet name="Profit and Loss" sheetId="2" r:id="rId2"/>
    <sheet name="Balance Sheet" sheetId="3" r:id="rId3"/>
    <sheet name="Aged Receivables Summary" sheetId="4" r:id="rId4"/>
    <sheet name="Aged Payables Summary" sheetId="5" r:id="rId5"/>
  </sheets>
  <calcPr calcId="162913"/>
</workbook>
</file>

<file path=xl/sharedStrings.xml><?xml version="1.0" encoding="utf-8"?>
<sst xmlns="http://schemas.openxmlformats.org/spreadsheetml/2006/main" count="109" uniqueCount="109">
  <si>
    <t>Profit and Loss - VAI</t>
  </si>
  <si>
    <t>Hūmānus</t>
  </si>
  <si>
    <t>For the 3 months ended 30 June 2025</t>
  </si>
  <si>
    <t>Account</t>
  </si>
  <si>
    <t>Colombia Swim (OSF)</t>
  </si>
  <si>
    <t>OSF#4 (2025-29)</t>
  </si>
  <si>
    <t>OSJI (2024-25)</t>
  </si>
  <si>
    <t>Reserves (Interest)</t>
  </si>
  <si>
    <t>Rohingya Women's Dialogue - Swiss (2024-26)</t>
  </si>
  <si>
    <t>Total</t>
  </si>
  <si>
    <t>Income</t>
  </si>
  <si>
    <t>Grant Income</t>
  </si>
  <si>
    <t>Indirect Income</t>
  </si>
  <si>
    <t>Interest Income</t>
  </si>
  <si>
    <t>Total Indirect Income</t>
  </si>
  <si>
    <t>Total Income</t>
  </si>
  <si>
    <t>Programme Expenses</t>
  </si>
  <si>
    <t>Staffing</t>
  </si>
  <si>
    <t>Executive Director</t>
  </si>
  <si>
    <t>Project Consultants</t>
  </si>
  <si>
    <t>Cost of Living Allowances</t>
  </si>
  <si>
    <t>Meeting Expenses</t>
  </si>
  <si>
    <t>Partner Grants</t>
  </si>
  <si>
    <t>Volunteer Stipends</t>
  </si>
  <si>
    <t>Project Staff</t>
  </si>
  <si>
    <t>Total Staffing</t>
  </si>
  <si>
    <t>Transport</t>
  </si>
  <si>
    <t>International Flights</t>
  </si>
  <si>
    <t>Accommodation</t>
  </si>
  <si>
    <t>Per diem</t>
  </si>
  <si>
    <t>Local Transportation</t>
  </si>
  <si>
    <t>Total Transport</t>
  </si>
  <si>
    <t>Total Programme Expenses</t>
  </si>
  <si>
    <t>Operating Expenses</t>
  </si>
  <si>
    <t>Admin Expenses</t>
  </si>
  <si>
    <t>IT &amp; Software Expenses</t>
  </si>
  <si>
    <t>Total Admin Expenses</t>
  </si>
  <si>
    <t>Finance Expenses</t>
  </si>
  <si>
    <t>Accounting &amp; Bookkeeping Fees</t>
  </si>
  <si>
    <t>Bank Charges &amp; Merchant Fees</t>
  </si>
  <si>
    <t>Bank Revaluations</t>
  </si>
  <si>
    <t>Realised Currency Gains</t>
  </si>
  <si>
    <t>Unrealised Currency Gains</t>
  </si>
  <si>
    <t>Total Finance Expenses</t>
  </si>
  <si>
    <t>Operations</t>
  </si>
  <si>
    <t>Branding &amp; Communications</t>
  </si>
  <si>
    <t>Total Operations</t>
  </si>
  <si>
    <t>Governance</t>
  </si>
  <si>
    <t>Strategy &amp; Advisory Services</t>
  </si>
  <si>
    <t>Total Governance</t>
  </si>
  <si>
    <t>Total Operating Expenses</t>
  </si>
  <si>
    <t>Net Surplus/Defecit</t>
  </si>
  <si>
    <t>Profit and Loss</t>
  </si>
  <si>
    <t>Apr-Jun 2025</t>
  </si>
  <si>
    <t>Trading Income</t>
  </si>
  <si>
    <t>Total Trading Income</t>
  </si>
  <si>
    <t>Cost of Sales</t>
  </si>
  <si>
    <t>Total Cost of Sales</t>
  </si>
  <si>
    <t>Depreciation</t>
  </si>
  <si>
    <t>Balance Sheet</t>
  </si>
  <si>
    <t>As at 30 June 2025</t>
  </si>
  <si>
    <t>30 Jun 2025</t>
  </si>
  <si>
    <t>Assets</t>
  </si>
  <si>
    <t>Bank</t>
  </si>
  <si>
    <t>Wise - EUR</t>
  </si>
  <si>
    <t>[FX]</t>
  </si>
  <si>
    <t>Wise - USD</t>
  </si>
  <si>
    <t>Total Bank</t>
  </si>
  <si>
    <t>Current Assets</t>
  </si>
  <si>
    <t>Prepayments</t>
  </si>
  <si>
    <t>Total Current Assets</t>
  </si>
  <si>
    <t>Fixed Assets</t>
  </si>
  <si>
    <t>Computer Equipment</t>
  </si>
  <si>
    <t>Less Accumulated Depreciation on Computer Equipment</t>
  </si>
  <si>
    <t>Total Fixed Assets</t>
  </si>
  <si>
    <t>Total Assets</t>
  </si>
  <si>
    <t>Liabilities</t>
  </si>
  <si>
    <t>Current Liabilities</t>
  </si>
  <si>
    <t>Accounts Payable</t>
  </si>
  <si>
    <t>Rounding</t>
  </si>
  <si>
    <t>Total Current Liabilities</t>
  </si>
  <si>
    <t>Total Liabilities</t>
  </si>
  <si>
    <t>Net Assets</t>
  </si>
  <si>
    <t>Equity</t>
  </si>
  <si>
    <t>Current Year Earnings</t>
  </si>
  <si>
    <t>Retained Earnings</t>
  </si>
  <si>
    <t>Total Equity</t>
  </si>
  <si>
    <r>
      <rPr>
        <rFont val="Arial"/>
        <b/>
        <color theme="1"/>
        <sz val="9"/>
      </rPr>
      <t>[FX]</t>
    </r>
    <r>
      <rPr>
        <rFont val="Arial"/>
        <color theme="1"/>
        <sz val="9"/>
      </rPr>
      <t xml:space="preserve"> Exchange rates used to convert foreign currency into USD are shown below. Rates are provided by XE.com unless otherwise stated.</t>
    </r>
  </si>
  <si>
    <t>0.848318 EUR (Euro)</t>
  </si>
  <si>
    <t>0.728104 GBP (British Pound)</t>
  </si>
  <si>
    <t>Aged Receivables Summary</t>
  </si>
  <si>
    <t>Ageing by due date</t>
  </si>
  <si>
    <t>Aged Payables Summary</t>
  </si>
  <si>
    <t>Contact</t>
  </si>
  <si>
    <t>Current</t>
  </si>
  <si>
    <t>&lt; 1 Month</t>
  </si>
  <si>
    <t>1 Month</t>
  </si>
  <si>
    <t>2 Months</t>
  </si>
  <si>
    <t>3 Months</t>
  </si>
  <si>
    <t>Older</t>
  </si>
  <si>
    <t>Aged Payables</t>
  </si>
  <si>
    <t>Arati Ranade</t>
  </si>
  <si>
    <t>Manuela Londono</t>
  </si>
  <si>
    <t>Manuela Londono (londono@victimadvocatesinternational.org)</t>
  </si>
  <si>
    <t>Mohammad Shafi</t>
  </si>
  <si>
    <t>Tavy Cussinel</t>
  </si>
  <si>
    <t>ZevRoss Spatial Analysis LLC</t>
  </si>
  <si>
    <t>Total Aged Payables</t>
  </si>
  <si>
    <t>Percentage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</si>
</sst>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(#,##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vertical="center"/>
    </xf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6" fillId="0" borderId="0" xfId="0" applyFont="true" applyAlignment="true">
      <alignment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  <xf numFmtId="0" fontId="0" fillId="0" borderId="0" xfId="0" applyAlignment="true">
      <alignment vertical="top"/>
    </xf>
    <xf numFmtId="0" fontId="6" fillId="0" borderId="0" xfId="0" applyFont="true" applyAlignment="true">
      <alignment vertical="top"/>
    </xf>
    <xf numFmtId="9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5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.3671875" customWidth="1"/>
    <col min="2" max="2" width="30.66015625" customWidth="1"/>
    <col min="3" max="3" width="25" customWidth="1"/>
    <col min="4" max="4" width="18.83203125" customWidth="1"/>
    <col min="5" max="5" width="17" customWidth="1"/>
    <col min="6" max="6" width="20.83203125" customWidth="1"/>
    <col min="7" max="7" width="49.66015625" customWidth="1"/>
    <col min="8" max="8" width="6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</row>
    <row r="4" ht="13.35" customHeight="true"/>
    <row r="5" ht="12.1" customHeight="true" customFormat="true" s="5">
      <c r="A5" s="6"/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ht="13.35" customHeight="true"/>
    <row r="7" ht="12.1" customHeight="true" customFormat="true" s="5">
      <c r="A7" s="6" t="s">
        <v>10</v>
      </c>
      <c r="B7" s="6"/>
      <c r="C7" s="6"/>
      <c r="D7" s="6"/>
      <c r="E7" s="6"/>
      <c r="F7" s="6"/>
      <c r="G7" s="6"/>
      <c r="H7" s="6"/>
    </row>
    <row r="8" ht="10.95" customHeight="true" customFormat="true" s="9">
      <c r="B8" s="10" t="s">
        <v>11</v>
      </c>
      <c r="C8" s="11">
        <v>9768.0000</v>
      </c>
      <c r="D8" s="11">
        <v>0</v>
      </c>
      <c r="E8" s="11">
        <v>0</v>
      </c>
      <c r="F8" s="11">
        <v>0</v>
      </c>
      <c r="G8" s="11">
        <v>0</v>
      </c>
      <c r="H8" s="11">
        <f ca="1">((((C8 + D8) + E8) + F8) + G8)</f>
        <v>0</v>
      </c>
    </row>
    <row r="9" ht="10.95" customHeight="true" customFormat="true" s="9">
      <c r="A9" s="12"/>
      <c r="B9" s="12" t="s">
        <v>12</v>
      </c>
      <c r="C9" s="12"/>
      <c r="D9" s="12"/>
      <c r="E9" s="12"/>
      <c r="F9" s="12"/>
      <c r="G9" s="12"/>
      <c r="H9" s="12"/>
    </row>
    <row r="10" ht="10.95" customHeight="true" customFormat="true" s="9">
      <c r="B10" s="13" t="s">
        <v>13</v>
      </c>
      <c r="C10" s="14">
        <v>0</v>
      </c>
      <c r="D10" s="14">
        <v>0</v>
      </c>
      <c r="E10" s="14">
        <v>0</v>
      </c>
      <c r="F10" s="14">
        <v>835.9000</v>
      </c>
      <c r="G10" s="14">
        <v>0</v>
      </c>
      <c r="H10" s="14">
        <f ca="1">((((C10 + D10) + E10) + F10) + G10)</f>
        <v>0</v>
      </c>
    </row>
    <row r="11" ht="10.95" customHeight="true" customFormat="true" s="9">
      <c r="B11" s="15" t="s">
        <v>14</v>
      </c>
      <c r="C11" s="16">
        <f ca="1">C10</f>
        <v>0</v>
      </c>
      <c r="D11" s="16">
        <f ca="1">D10</f>
        <v>0</v>
      </c>
      <c r="E11" s="16">
        <f ca="1">E10</f>
        <v>0</v>
      </c>
      <c r="F11" s="16">
        <f ca="1">F10</f>
        <v>0</v>
      </c>
      <c r="G11" s="16">
        <f ca="1">G10</f>
        <v>0</v>
      </c>
      <c r="H11" s="16">
        <f ca="1">((((C11 + D11) + E11) + F11) + G11)</f>
        <v>0</v>
      </c>
    </row>
    <row r="12" ht="10.95" customHeight="true" customFormat="true" s="9">
      <c r="A12" s="15" t="s">
        <v>15</v>
      </c>
      <c r="C12" s="16">
        <f ca="1">(C8 + C11)</f>
        <v>0</v>
      </c>
      <c r="D12" s="16">
        <f ca="1">(D8 + D11)</f>
        <v>0</v>
      </c>
      <c r="E12" s="16">
        <f ca="1">(E8 + E11)</f>
        <v>0</v>
      </c>
      <c r="F12" s="16">
        <f ca="1">(F8 + F11)</f>
        <v>0</v>
      </c>
      <c r="G12" s="16">
        <f ca="1">(G8 + G11)</f>
        <v>0</v>
      </c>
      <c r="H12" s="16">
        <f ca="1">((((C12 + D12) + E12) + F12) + G12)</f>
        <v>0</v>
      </c>
    </row>
    <row r="13" ht="13.35" customHeight="true"/>
    <row r="14" ht="12.1" customHeight="true" customFormat="true" s="5">
      <c r="A14" s="6" t="s">
        <v>16</v>
      </c>
      <c r="B14" s="6"/>
      <c r="C14" s="6"/>
      <c r="D14" s="6"/>
      <c r="E14" s="6"/>
      <c r="F14" s="6"/>
      <c r="G14" s="6"/>
      <c r="H14" s="6"/>
    </row>
    <row r="15" ht="10.95" customHeight="true" customFormat="true" s="9">
      <c r="A15" s="12"/>
      <c r="B15" s="12" t="s">
        <v>17</v>
      </c>
      <c r="C15" s="12"/>
      <c r="D15" s="12"/>
      <c r="E15" s="12"/>
      <c r="F15" s="12"/>
      <c r="G15" s="12"/>
      <c r="H15" s="12"/>
    </row>
    <row r="16" ht="10.95" customHeight="true" customFormat="true" s="9">
      <c r="B16" s="13" t="s">
        <v>18</v>
      </c>
      <c r="C16" s="14">
        <v>0</v>
      </c>
      <c r="D16" s="14">
        <v>17688.0000</v>
      </c>
      <c r="E16" s="14">
        <v>0</v>
      </c>
      <c r="F16" s="14">
        <v>0</v>
      </c>
      <c r="G16" s="14">
        <v>14472.0000</v>
      </c>
      <c r="H16" s="14">
        <f ca="1">((((C16 + D16) + E16) + F16) + G16)</f>
        <v>0</v>
      </c>
    </row>
    <row r="17" ht="10.95" customHeight="true" customFormat="true" s="9">
      <c r="B17" s="13" t="s">
        <v>19</v>
      </c>
      <c r="C17" s="14">
        <v>0</v>
      </c>
      <c r="D17" s="14">
        <v>18988.6900</v>
      </c>
      <c r="E17" s="14">
        <v>0</v>
      </c>
      <c r="F17" s="14">
        <v>0</v>
      </c>
      <c r="G17" s="14">
        <v>0</v>
      </c>
      <c r="H17" s="14">
        <f ca="1">((((C17 + D17) + E17) + F17) + G17)</f>
        <v>0</v>
      </c>
    </row>
    <row r="18" ht="10.95" customHeight="true" customFormat="true" s="9">
      <c r="B18" s="13" t="s">
        <v>20</v>
      </c>
      <c r="C18" s="14">
        <v>0</v>
      </c>
      <c r="D18" s="14">
        <v>5675.6800</v>
      </c>
      <c r="E18" s="14">
        <v>0</v>
      </c>
      <c r="F18" s="14">
        <v>0</v>
      </c>
      <c r="G18" s="14">
        <v>500.0000</v>
      </c>
      <c r="H18" s="14">
        <f ca="1">((((C18 + D18) + E18) + F18) + G18)</f>
        <v>0</v>
      </c>
    </row>
    <row r="19" ht="10.95" customHeight="true" customFormat="true" s="9">
      <c r="B19" s="13" t="s">
        <v>21</v>
      </c>
      <c r="C19" s="14">
        <v>0</v>
      </c>
      <c r="D19" s="14">
        <v>2437.5700</v>
      </c>
      <c r="E19" s="14">
        <v>0</v>
      </c>
      <c r="F19" s="14">
        <v>0</v>
      </c>
      <c r="G19" s="14">
        <v>0</v>
      </c>
      <c r="H19" s="14">
        <f ca="1">((((C19 + D19) + E19) + F19) + G19)</f>
        <v>0</v>
      </c>
    </row>
    <row r="20" ht="10.95" customHeight="true" customFormat="true" s="9">
      <c r="B20" s="13" t="s">
        <v>22</v>
      </c>
      <c r="C20" s="14">
        <v>0</v>
      </c>
      <c r="D20" s="14">
        <v>8963.8700</v>
      </c>
      <c r="E20" s="14">
        <v>0</v>
      </c>
      <c r="F20" s="14">
        <v>0</v>
      </c>
      <c r="G20" s="14">
        <v>0</v>
      </c>
      <c r="H20" s="14">
        <f ca="1">((((C20 + D20) + E20) + F20) + G20)</f>
        <v>0</v>
      </c>
    </row>
    <row r="21" ht="10.95" customHeight="true" customFormat="true" s="9">
      <c r="B21" s="13" t="s">
        <v>23</v>
      </c>
      <c r="C21" s="14">
        <v>0</v>
      </c>
      <c r="D21" s="14">
        <v>0</v>
      </c>
      <c r="E21" s="14">
        <v>0</v>
      </c>
      <c r="F21" s="14">
        <v>0</v>
      </c>
      <c r="G21" s="14">
        <v>4610.7900</v>
      </c>
      <c r="H21" s="14">
        <f ca="1">((((C21 + D21) + E21) + F21) + G21)</f>
        <v>0</v>
      </c>
    </row>
    <row r="22" ht="10.95" customHeight="true" customFormat="true" s="9">
      <c r="B22" s="13" t="s">
        <v>24</v>
      </c>
      <c r="C22" s="14">
        <v>0</v>
      </c>
      <c r="D22" s="14">
        <v>543.6700</v>
      </c>
      <c r="E22" s="14">
        <v>30000.0000</v>
      </c>
      <c r="F22" s="14">
        <v>0</v>
      </c>
      <c r="G22" s="14">
        <v>10048.5800</v>
      </c>
      <c r="H22" s="14">
        <f ca="1">((((C22 + D22) + E22) + F22) + G22)</f>
        <v>0</v>
      </c>
    </row>
    <row r="23" ht="10.95" customHeight="true" customFormat="true" s="9">
      <c r="B23" s="15" t="s">
        <v>25</v>
      </c>
      <c r="C23" s="16">
        <f ca="1">SUM(C16:C22)</f>
        <v>0</v>
      </c>
      <c r="D23" s="16">
        <f ca="1">SUM(D16:D22)</f>
        <v>0</v>
      </c>
      <c r="E23" s="16">
        <f ca="1">SUM(E16:E22)</f>
        <v>0</v>
      </c>
      <c r="F23" s="16">
        <f ca="1">SUM(F16:F22)</f>
        <v>0</v>
      </c>
      <c r="G23" s="16">
        <f ca="1">SUM(G16:G22)</f>
        <v>0</v>
      </c>
      <c r="H23" s="16">
        <f ca="1">((((C23 + D23) + E23) + F23) + G23)</f>
        <v>0</v>
      </c>
    </row>
    <row r="24" ht="10.95" customHeight="true" customFormat="true" s="9">
      <c r="A24" s="12"/>
      <c r="B24" s="12" t="s">
        <v>26</v>
      </c>
      <c r="C24" s="12"/>
      <c r="D24" s="12"/>
      <c r="E24" s="12"/>
      <c r="F24" s="12"/>
      <c r="G24" s="12"/>
      <c r="H24" s="12"/>
    </row>
    <row r="25" ht="10.95" customHeight="true" customFormat="true" s="9">
      <c r="B25" s="13" t="s">
        <v>27</v>
      </c>
      <c r="C25" s="14">
        <v>2020.8900</v>
      </c>
      <c r="D25" s="14">
        <v>9240.6700</v>
      </c>
      <c r="E25" s="14">
        <v>0</v>
      </c>
      <c r="F25" s="14">
        <v>0</v>
      </c>
      <c r="G25" s="14">
        <v>7409.3900</v>
      </c>
      <c r="H25" s="14">
        <f ca="1">((((C25 + D25) + E25) + F25) + G25)</f>
        <v>0</v>
      </c>
    </row>
    <row r="26" ht="10.95" customHeight="true" customFormat="true" s="9">
      <c r="B26" s="13" t="s">
        <v>28</v>
      </c>
      <c r="C26" s="14">
        <v>0</v>
      </c>
      <c r="D26" s="14">
        <v>1166.8600</v>
      </c>
      <c r="E26" s="14">
        <v>0</v>
      </c>
      <c r="F26" s="14">
        <v>0</v>
      </c>
      <c r="G26" s="14">
        <v>341.0000</v>
      </c>
      <c r="H26" s="14">
        <f ca="1">((((C26 + D26) + E26) + F26) + G26)</f>
        <v>0</v>
      </c>
    </row>
    <row r="27" ht="10.95" customHeight="true" customFormat="true" s="9">
      <c r="B27" s="13" t="s">
        <v>29</v>
      </c>
      <c r="C27" s="14">
        <v>0</v>
      </c>
      <c r="D27" s="14">
        <v>300.0000</v>
      </c>
      <c r="E27" s="14">
        <v>0</v>
      </c>
      <c r="F27" s="14">
        <v>0</v>
      </c>
      <c r="G27" s="14">
        <v>0</v>
      </c>
      <c r="H27" s="14">
        <f ca="1">((((C27 + D27) + E27) + F27) + G27)</f>
        <v>0</v>
      </c>
    </row>
    <row r="28" ht="10.95" customHeight="true" customFormat="true" s="9">
      <c r="B28" s="13" t="s">
        <v>30</v>
      </c>
      <c r="C28" s="14">
        <v>0</v>
      </c>
      <c r="D28" s="14">
        <v>144.2300</v>
      </c>
      <c r="E28" s="14">
        <v>0</v>
      </c>
      <c r="F28" s="14">
        <v>0</v>
      </c>
      <c r="G28" s="14">
        <v>65.1800</v>
      </c>
      <c r="H28" s="14">
        <f ca="1">((((C28 + D28) + E28) + F28) + G28)</f>
        <v>0</v>
      </c>
    </row>
    <row r="29" ht="10.95" customHeight="true" customFormat="true" s="9">
      <c r="B29" s="15" t="s">
        <v>31</v>
      </c>
      <c r="C29" s="16">
        <f ca="1">SUM(C25:C28)</f>
        <v>0</v>
      </c>
      <c r="D29" s="16">
        <f ca="1">SUM(D25:D28)</f>
        <v>0</v>
      </c>
      <c r="E29" s="16">
        <f ca="1">SUM(E25:E28)</f>
        <v>0</v>
      </c>
      <c r="F29" s="16">
        <f ca="1">SUM(F25:F28)</f>
        <v>0</v>
      </c>
      <c r="G29" s="16">
        <f ca="1">SUM(G25:G28)</f>
        <v>0</v>
      </c>
      <c r="H29" s="16">
        <f ca="1">((((C29 + D29) + E29) + F29) + G29)</f>
        <v>0</v>
      </c>
    </row>
    <row r="30" ht="10.95" customHeight="true" customFormat="true" s="9">
      <c r="A30" s="15" t="s">
        <v>32</v>
      </c>
      <c r="C30" s="16">
        <f ca="1">(0 + (C23 + C29))</f>
        <v>0</v>
      </c>
      <c r="D30" s="16">
        <f ca="1">(0 + (D23 + D29))</f>
        <v>0</v>
      </c>
      <c r="E30" s="16">
        <f ca="1">(0 + (E23 + E29))</f>
        <v>0</v>
      </c>
      <c r="F30" s="16">
        <f ca="1">(0 + (F23 + F29))</f>
        <v>0</v>
      </c>
      <c r="G30" s="16">
        <f ca="1">(0 + (G23 + G29))</f>
        <v>0</v>
      </c>
      <c r="H30" s="16">
        <f ca="1">((((C30 + D30) + E30) + F30) + G30)</f>
        <v>0</v>
      </c>
    </row>
    <row r="31" ht="13.35" customHeight="true"/>
    <row r="32" ht="12.1" customHeight="true" customFormat="true" s="5">
      <c r="A32" s="6" t="s">
        <v>33</v>
      </c>
      <c r="B32" s="6"/>
      <c r="C32" s="6"/>
      <c r="D32" s="6"/>
      <c r="E32" s="6"/>
      <c r="F32" s="6"/>
      <c r="G32" s="6"/>
      <c r="H32" s="6"/>
    </row>
    <row r="33" ht="10.95" customHeight="true" customFormat="true" s="9">
      <c r="A33" s="12"/>
      <c r="B33" s="12" t="s">
        <v>34</v>
      </c>
      <c r="C33" s="12"/>
      <c r="D33" s="12"/>
      <c r="E33" s="12"/>
      <c r="F33" s="12"/>
      <c r="G33" s="12"/>
      <c r="H33" s="12"/>
    </row>
    <row r="34" ht="10.95" customHeight="true" customFormat="true" s="9">
      <c r="B34" s="13" t="s">
        <v>35</v>
      </c>
      <c r="C34" s="14">
        <v>0</v>
      </c>
      <c r="D34" s="14">
        <v>1480.5100</v>
      </c>
      <c r="E34" s="14">
        <v>0</v>
      </c>
      <c r="F34" s="14">
        <v>0</v>
      </c>
      <c r="G34" s="14">
        <v>99.5600</v>
      </c>
      <c r="H34" s="14">
        <f ca="1">((((C34 + D34) + E34) + F34) + G34)</f>
        <v>0</v>
      </c>
    </row>
    <row r="35" ht="10.95" customHeight="true" customFormat="true" s="9">
      <c r="B35" s="15" t="s">
        <v>36</v>
      </c>
      <c r="C35" s="16">
        <f ca="1">C34</f>
        <v>0</v>
      </c>
      <c r="D35" s="16">
        <f ca="1">D34</f>
        <v>0</v>
      </c>
      <c r="E35" s="16">
        <f ca="1">E34</f>
        <v>0</v>
      </c>
      <c r="F35" s="16">
        <f ca="1">F34</f>
        <v>0</v>
      </c>
      <c r="G35" s="16">
        <f ca="1">G34</f>
        <v>0</v>
      </c>
      <c r="H35" s="16">
        <f ca="1">((((C35 + D35) + E35) + F35) + G35)</f>
        <v>0</v>
      </c>
    </row>
    <row r="36" ht="10.95" customHeight="true" customFormat="true" s="9">
      <c r="A36" s="12"/>
      <c r="B36" s="12" t="s">
        <v>37</v>
      </c>
      <c r="C36" s="12"/>
      <c r="D36" s="12"/>
      <c r="E36" s="12"/>
      <c r="F36" s="12"/>
      <c r="G36" s="12"/>
      <c r="H36" s="12"/>
    </row>
    <row r="37" ht="10.95" customHeight="true" customFormat="true" s="9">
      <c r="B37" s="13" t="s">
        <v>38</v>
      </c>
      <c r="C37" s="14">
        <v>0</v>
      </c>
      <c r="D37" s="14">
        <v>0</v>
      </c>
      <c r="E37" s="14">
        <v>0</v>
      </c>
      <c r="F37" s="14">
        <v>0</v>
      </c>
      <c r="G37" s="14">
        <v>3276.1900</v>
      </c>
      <c r="H37" s="14">
        <f ca="1">((((C37 + D37) + E37) + F37) + G37)</f>
        <v>0</v>
      </c>
    </row>
    <row r="38" ht="10.95" customHeight="true" customFormat="true" s="9">
      <c r="B38" s="13" t="s">
        <v>39</v>
      </c>
      <c r="C38" s="14">
        <v>0</v>
      </c>
      <c r="D38" s="14">
        <v>126.8600</v>
      </c>
      <c r="E38" s="14">
        <v>0</v>
      </c>
      <c r="F38" s="14">
        <v>0</v>
      </c>
      <c r="G38" s="14">
        <v>69.3300</v>
      </c>
      <c r="H38" s="14">
        <f ca="1">((((C38 + D38) + E38) + F38) + G38)</f>
        <v>0</v>
      </c>
    </row>
    <row r="39" ht="10.95" customHeight="true" customFormat="true" s="9">
      <c r="B39" s="13" t="s">
        <v>40</v>
      </c>
      <c r="C39" s="14">
        <v>94.5300</v>
      </c>
      <c r="D39" s="14">
        <v>641.1100</v>
      </c>
      <c r="E39" s="14">
        <v>0</v>
      </c>
      <c r="F39" s="14">
        <v>-168.4400</v>
      </c>
      <c r="G39" s="14">
        <v>-5056.6700</v>
      </c>
      <c r="H39" s="14">
        <f ca="1">((((C39 + D39) + E39) + F39) + G39)</f>
        <v>0</v>
      </c>
    </row>
    <row r="40" ht="10.95" customHeight="true" customFormat="true" s="9">
      <c r="B40" s="13" t="s">
        <v>41</v>
      </c>
      <c r="C40" s="14">
        <v>-9.2600</v>
      </c>
      <c r="D40" s="14">
        <v>-134.3500</v>
      </c>
      <c r="E40" s="14">
        <v>0</v>
      </c>
      <c r="F40" s="14">
        <v>0</v>
      </c>
      <c r="G40" s="14">
        <v>47.3000</v>
      </c>
      <c r="H40" s="14">
        <f ca="1">((((C40 + D40) + E40) + F40) + G40)</f>
        <v>0</v>
      </c>
    </row>
    <row r="41" ht="10.95" customHeight="true" customFormat="true" s="9">
      <c r="B41" s="13" t="s">
        <v>42</v>
      </c>
      <c r="C41" s="14">
        <v>0</v>
      </c>
      <c r="D41" s="14">
        <v>-6.9200</v>
      </c>
      <c r="E41" s="14">
        <v>0</v>
      </c>
      <c r="F41" s="14">
        <v>0</v>
      </c>
      <c r="G41" s="14">
        <v>0</v>
      </c>
      <c r="H41" s="14">
        <f ca="1">((((C41 + D41) + E41) + F41) + G41)</f>
        <v>0</v>
      </c>
    </row>
    <row r="42" ht="10.95" customHeight="true" customFormat="true" s="9">
      <c r="B42" s="15" t="s">
        <v>43</v>
      </c>
      <c r="C42" s="16">
        <f ca="1">SUM(C37:C41)</f>
        <v>0</v>
      </c>
      <c r="D42" s="16">
        <f ca="1">SUM(D37:D41)</f>
        <v>0</v>
      </c>
      <c r="E42" s="16">
        <f ca="1">SUM(E37:E41)</f>
        <v>0</v>
      </c>
      <c r="F42" s="16">
        <f ca="1">SUM(F37:F41)</f>
        <v>0</v>
      </c>
      <c r="G42" s="16">
        <f ca="1">SUM(G37:G41)</f>
        <v>0</v>
      </c>
      <c r="H42" s="16">
        <f ca="1">((((C42 + D42) + E42) + F42) + G42)</f>
        <v>0</v>
      </c>
    </row>
    <row r="43" ht="10.95" customHeight="true" customFormat="true" s="9">
      <c r="A43" s="12"/>
      <c r="B43" s="12" t="s">
        <v>44</v>
      </c>
      <c r="C43" s="12"/>
      <c r="D43" s="12"/>
      <c r="E43" s="12"/>
      <c r="F43" s="12"/>
      <c r="G43" s="12"/>
      <c r="H43" s="12"/>
    </row>
    <row r="44" ht="10.95" customHeight="true" customFormat="true" s="9">
      <c r="B44" s="13" t="s">
        <v>45</v>
      </c>
      <c r="C44" s="14">
        <v>0</v>
      </c>
      <c r="D44" s="14">
        <v>9345.9200</v>
      </c>
      <c r="E44" s="14">
        <v>0</v>
      </c>
      <c r="F44" s="14">
        <v>0</v>
      </c>
      <c r="G44" s="14">
        <v>0</v>
      </c>
      <c r="H44" s="14">
        <f ca="1">((((C44 + D44) + E44) + F44) + G44)</f>
        <v>0</v>
      </c>
    </row>
    <row r="45" ht="10.95" customHeight="true" customFormat="true" s="9">
      <c r="B45" s="15" t="s">
        <v>46</v>
      </c>
      <c r="C45" s="16">
        <f ca="1">C44</f>
        <v>0</v>
      </c>
      <c r="D45" s="16">
        <f ca="1">D44</f>
        <v>0</v>
      </c>
      <c r="E45" s="16">
        <f ca="1">E44</f>
        <v>0</v>
      </c>
      <c r="F45" s="16">
        <f ca="1">F44</f>
        <v>0</v>
      </c>
      <c r="G45" s="16">
        <f ca="1">G44</f>
        <v>0</v>
      </c>
      <c r="H45" s="16">
        <f ca="1">((((C45 + D45) + E45) + F45) + G45)</f>
        <v>0</v>
      </c>
    </row>
    <row r="46" ht="10.95" customHeight="true" customFormat="true" s="9">
      <c r="A46" s="12"/>
      <c r="B46" s="12" t="s">
        <v>47</v>
      </c>
      <c r="C46" s="12"/>
      <c r="D46" s="12"/>
      <c r="E46" s="12"/>
      <c r="F46" s="12"/>
      <c r="G46" s="12"/>
      <c r="H46" s="12"/>
    </row>
    <row r="47" ht="10.95" customHeight="true" customFormat="true" s="9">
      <c r="B47" s="13" t="s">
        <v>48</v>
      </c>
      <c r="C47" s="14">
        <v>0</v>
      </c>
      <c r="D47" s="14">
        <v>15650.0000</v>
      </c>
      <c r="E47" s="14">
        <v>0</v>
      </c>
      <c r="F47" s="14">
        <v>0</v>
      </c>
      <c r="G47" s="14">
        <v>0</v>
      </c>
      <c r="H47" s="14">
        <f ca="1">((((C47 + D47) + E47) + F47) + G47)</f>
        <v>0</v>
      </c>
    </row>
    <row r="48" ht="10.95" customHeight="true" customFormat="true" s="9">
      <c r="B48" s="15" t="s">
        <v>49</v>
      </c>
      <c r="C48" s="16">
        <f ca="1">C47</f>
        <v>0</v>
      </c>
      <c r="D48" s="16">
        <f ca="1">D47</f>
        <v>0</v>
      </c>
      <c r="E48" s="16">
        <f ca="1">E47</f>
        <v>0</v>
      </c>
      <c r="F48" s="16">
        <f ca="1">F47</f>
        <v>0</v>
      </c>
      <c r="G48" s="16">
        <f ca="1">G47</f>
        <v>0</v>
      </c>
      <c r="H48" s="16">
        <f ca="1">((((C48 + D48) + E48) + F48) + G48)</f>
        <v>0</v>
      </c>
    </row>
    <row r="49" ht="10.95" customHeight="true" customFormat="true" s="9">
      <c r="A49" s="15" t="s">
        <v>50</v>
      </c>
      <c r="C49" s="16">
        <f ca="1">(0 + (((C35 + C42) + C45) + C48))</f>
        <v>0</v>
      </c>
      <c r="D49" s="16">
        <f ca="1">(0 + (((D35 + D42) + D45) + D48))</f>
        <v>0</v>
      </c>
      <c r="E49" s="16">
        <f ca="1">(0 + (((E35 + E42) + E45) + E48))</f>
        <v>0</v>
      </c>
      <c r="F49" s="16">
        <f ca="1">(0 + (((F35 + F42) + F45) + F48))</f>
        <v>0</v>
      </c>
      <c r="G49" s="16">
        <f ca="1">(0 + (((G35 + G42) + G45) + G48))</f>
        <v>0</v>
      </c>
      <c r="H49" s="16">
        <f ca="1">((((C49 + D49) + E49) + F49) + G49)</f>
        <v>0</v>
      </c>
    </row>
    <row r="50" ht="13.35" customHeight="true"/>
    <row r="51" ht="10.95" customHeight="true" customFormat="true" s="9">
      <c r="B51" s="17" t="s">
        <v>51</v>
      </c>
      <c r="C51" s="18">
        <f ca="1">(((C12 - C30) + 0) - C49)</f>
        <v>0</v>
      </c>
      <c r="D51" s="18">
        <f ca="1">(((D12 - D30) + 0) - D49)</f>
        <v>0</v>
      </c>
      <c r="E51" s="18">
        <f ca="1">(((E12 - E30) + 0) - E49)</f>
        <v>0</v>
      </c>
      <c r="F51" s="18">
        <f ca="1">(((F12 - F30) + 0) - F49)</f>
        <v>0</v>
      </c>
      <c r="G51" s="18">
        <f ca="1">(((G12 - G30) + 0) - G49)</f>
        <v>0</v>
      </c>
      <c r="H51" s="18">
        <f ca="1">((((C51 + D51) + E51) + F51) + G51)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38"/>
  <sheetViews>
    <sheetView workbookViewId="0" topLeftCell="A1" zoomScaleNormal="100" zoomScaleSheetLayoutView="60" showGridLines="0" zoomScale="100" view="normal"/>
  </sheetViews>
  <sheetFormatPr defaultRowHeight="12.75"/>
  <cols>
    <col min="1" max="1" width="23.4375" customWidth="1"/>
    <col min="2" max="2" width="15.83203125" customWidth="1"/>
  </cols>
  <sheetData>
    <row r="1" ht="16.7" customHeight="true" customFormat="true" s="1">
      <c r="A1" s="2" t="s">
        <v>52</v>
      </c>
      <c r="B1" s="2"/>
    </row>
    <row r="2" ht="14.4" customHeight="true" customFormat="true" s="3">
      <c r="A2" s="4" t="s">
        <v>1</v>
      </c>
      <c r="B2" s="4"/>
    </row>
    <row r="3" ht="14.4" customHeight="true" customFormat="true" s="3">
      <c r="A3" s="4" t="s">
        <v>2</v>
      </c>
      <c r="B3" s="4"/>
    </row>
    <row r="4" ht="13.35" customHeight="true"/>
    <row r="5" ht="12.1" customHeight="true" customFormat="true" s="5">
      <c r="A5" s="7" t="s">
        <v>3</v>
      </c>
      <c r="B5" s="8" t="s">
        <v>53</v>
      </c>
    </row>
    <row r="6" ht="13.35" customHeight="true"/>
    <row r="7" ht="12.1" customHeight="true" customFormat="true" s="5">
      <c r="A7" s="6" t="s">
        <v>54</v>
      </c>
      <c r="B7" s="6"/>
    </row>
    <row r="8" ht="10.95" customHeight="true" customFormat="true" s="9">
      <c r="A8" s="10" t="s">
        <v>11</v>
      </c>
      <c r="B8" s="11">
        <v>9768.0000</v>
      </c>
    </row>
    <row r="9" ht="10.95" customHeight="true" customFormat="true" s="9">
      <c r="A9" s="13" t="s">
        <v>13</v>
      </c>
      <c r="B9" s="14">
        <v>835.9000</v>
      </c>
    </row>
    <row r="10" ht="10.95" customHeight="true" customFormat="true" s="9">
      <c r="A10" s="15" t="s">
        <v>55</v>
      </c>
      <c r="B10" s="16">
        <f ca="1">SUM(B8:B9)</f>
        <v>0</v>
      </c>
    </row>
    <row r="11" ht="13.35" customHeight="true"/>
    <row r="12" ht="12.1" customHeight="true" customFormat="true" s="5">
      <c r="A12" s="6" t="s">
        <v>56</v>
      </c>
      <c r="B12" s="6"/>
    </row>
    <row r="13" ht="10.95" customHeight="true" customFormat="true" s="9">
      <c r="A13" s="10" t="s">
        <v>28</v>
      </c>
      <c r="B13" s="11">
        <v>1507.8600</v>
      </c>
    </row>
    <row r="14" ht="10.95" customHeight="true" customFormat="true" s="9">
      <c r="A14" s="13" t="s">
        <v>20</v>
      </c>
      <c r="B14" s="14">
        <v>6175.6800</v>
      </c>
    </row>
    <row r="15" ht="10.95" customHeight="true" customFormat="true" s="9">
      <c r="A15" s="13" t="s">
        <v>18</v>
      </c>
      <c r="B15" s="14">
        <v>32160.0000</v>
      </c>
    </row>
    <row r="16" ht="10.95" customHeight="true" customFormat="true" s="9">
      <c r="A16" s="13" t="s">
        <v>27</v>
      </c>
      <c r="B16" s="14">
        <v>18670.9500</v>
      </c>
    </row>
    <row r="17" ht="10.95" customHeight="true" customFormat="true" s="9">
      <c r="A17" s="13" t="s">
        <v>30</v>
      </c>
      <c r="B17" s="14">
        <v>209.4100</v>
      </c>
    </row>
    <row r="18" ht="10.95" customHeight="true" customFormat="true" s="9">
      <c r="A18" s="13" t="s">
        <v>21</v>
      </c>
      <c r="B18" s="14">
        <v>2437.5700</v>
      </c>
    </row>
    <row r="19" ht="10.95" customHeight="true" customFormat="true" s="9">
      <c r="A19" s="13" t="s">
        <v>22</v>
      </c>
      <c r="B19" s="14">
        <v>8963.8700</v>
      </c>
    </row>
    <row r="20" ht="10.95" customHeight="true" customFormat="true" s="9">
      <c r="A20" s="13" t="s">
        <v>29</v>
      </c>
      <c r="B20" s="14">
        <v>300.0000</v>
      </c>
    </row>
    <row r="21" ht="10.95" customHeight="true" customFormat="true" s="9">
      <c r="A21" s="13" t="s">
        <v>19</v>
      </c>
      <c r="B21" s="14">
        <v>18988.6900</v>
      </c>
    </row>
    <row r="22" ht="10.95" customHeight="true" customFormat="true" s="9">
      <c r="A22" s="13" t="s">
        <v>24</v>
      </c>
      <c r="B22" s="14">
        <v>40592.2500</v>
      </c>
    </row>
    <row r="23" ht="10.95" customHeight="true" customFormat="true" s="9">
      <c r="A23" s="13" t="s">
        <v>23</v>
      </c>
      <c r="B23" s="14">
        <v>4610.7900</v>
      </c>
    </row>
    <row r="24" ht="10.95" customHeight="true" customFormat="true" s="9">
      <c r="A24" s="15" t="s">
        <v>57</v>
      </c>
      <c r="B24" s="16">
        <f ca="1">SUM(B13:B23)</f>
        <v>0</v>
      </c>
    </row>
    <row r="25" ht="13.35" customHeight="true"/>
    <row r="26" ht="12.1" customHeight="true" customFormat="true" s="5">
      <c r="A26" s="6" t="s">
        <v>33</v>
      </c>
      <c r="B26" s="6"/>
    </row>
    <row r="27" ht="10.95" customHeight="true" customFormat="true" s="9">
      <c r="A27" s="10" t="s">
        <v>38</v>
      </c>
      <c r="B27" s="11">
        <v>3276.1900</v>
      </c>
    </row>
    <row r="28" ht="10.95" customHeight="true" customFormat="true" s="9">
      <c r="A28" s="13" t="s">
        <v>39</v>
      </c>
      <c r="B28" s="14">
        <v>196.1900</v>
      </c>
    </row>
    <row r="29" ht="10.95" customHeight="true" customFormat="true" s="9">
      <c r="A29" s="13" t="s">
        <v>40</v>
      </c>
      <c r="B29" s="14">
        <v>-11101.6000</v>
      </c>
    </row>
    <row r="30" ht="10.95" customHeight="true" customFormat="true" s="9">
      <c r="A30" s="13" t="s">
        <v>45</v>
      </c>
      <c r="B30" s="14">
        <v>9345.9200</v>
      </c>
    </row>
    <row r="31" ht="10.95" customHeight="true" customFormat="true" s="9">
      <c r="A31" s="13" t="s">
        <v>58</v>
      </c>
      <c r="B31" s="14">
        <v>210.1300</v>
      </c>
    </row>
    <row r="32" ht="10.95" customHeight="true" customFormat="true" s="9">
      <c r="A32" s="13" t="s">
        <v>35</v>
      </c>
      <c r="B32" s="14">
        <v>1580.0700</v>
      </c>
    </row>
    <row r="33" ht="10.95" customHeight="true" customFormat="true" s="9">
      <c r="A33" s="13" t="s">
        <v>41</v>
      </c>
      <c r="B33" s="14">
        <v>-96.3100</v>
      </c>
    </row>
    <row r="34" ht="10.95" customHeight="true" customFormat="true" s="9">
      <c r="A34" s="13" t="s">
        <v>48</v>
      </c>
      <c r="B34" s="14">
        <v>15650.0000</v>
      </c>
    </row>
    <row r="35" ht="10.95" customHeight="true" customFormat="true" s="9">
      <c r="A35" s="13" t="s">
        <v>42</v>
      </c>
      <c r="B35" s="14">
        <v>-6.9100</v>
      </c>
    </row>
    <row r="36" ht="10.95" customHeight="true" customFormat="true" s="9">
      <c r="A36" s="15" t="s">
        <v>50</v>
      </c>
      <c r="B36" s="16">
        <f ca="1">SUM(B27:B35)</f>
        <v>0</v>
      </c>
    </row>
    <row r="37" ht="13.35" customHeight="true"/>
    <row r="38" ht="10.95" customHeight="true" customFormat="true" s="9">
      <c r="A38" s="17" t="s">
        <v>51</v>
      </c>
      <c r="B38" s="18">
        <f ca="1">(((B10 - B24) + 0) - B36)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39"/>
  <sheetViews>
    <sheetView workbookViewId="0" topLeftCell="A1" zoomScaleNormal="100" zoomScaleSheetLayoutView="60" showGridLines="0" zoomScale="100" view="normal"/>
  </sheetViews>
  <sheetFormatPr defaultRowHeight="12.75"/>
  <cols>
    <col min="1" max="1" width="1.3671875" customWidth="1"/>
    <col min="2" max="2" width="51.83203125" customWidth="1"/>
    <col min="3" max="3" width="13.83203125" customWidth="1"/>
    <col min="4" max="4" width="5.5" customWidth="1"/>
  </cols>
  <sheetData>
    <row r="1" ht="16.7" customHeight="true" customFormat="true" s="1">
      <c r="A1" s="2" t="s">
        <v>59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60</v>
      </c>
      <c r="B3" s="4"/>
      <c r="C3" s="4"/>
      <c r="D3" s="4"/>
    </row>
    <row r="4" ht="13.35" customHeight="true"/>
    <row r="5" ht="12.1" customHeight="true" customFormat="true" s="5">
      <c r="A5" s="6"/>
      <c r="B5" s="7" t="s">
        <v>3</v>
      </c>
      <c r="C5" s="8" t="s">
        <v>61</v>
      </c>
      <c r="D5" s="8"/>
    </row>
    <row r="6" ht="13.35" customHeight="true"/>
    <row r="7" ht="12.1" customHeight="true" customFormat="true" s="5">
      <c r="A7" s="6" t="s">
        <v>62</v>
      </c>
      <c r="B7" s="6"/>
      <c r="C7" s="6"/>
      <c r="D7" s="6"/>
    </row>
    <row r="8" ht="10.95" customHeight="true" customFormat="true" s="9">
      <c r="A8" s="12"/>
      <c r="B8" s="12" t="s">
        <v>63</v>
      </c>
      <c r="C8" s="12"/>
      <c r="D8" s="12"/>
    </row>
    <row r="9" ht="10.95" customHeight="true" customFormat="true" s="9">
      <c r="B9" s="13" t="s">
        <v>64</v>
      </c>
      <c r="C9" s="14">
        <v>120240.8400</v>
      </c>
      <c r="D9" s="13" t="s">
        <v>65</v>
      </c>
    </row>
    <row r="10" ht="10.95" customHeight="true" customFormat="true" s="9">
      <c r="B10" s="13" t="s">
        <v>66</v>
      </c>
      <c r="C10" s="14">
        <v>30223.9200</v>
      </c>
      <c r="D10" s="13"/>
    </row>
    <row r="11" ht="10.95" customHeight="true" customFormat="true" s="9">
      <c r="B11" s="15" t="s">
        <v>67</v>
      </c>
      <c r="C11" s="16">
        <f ca="1">SUM(C9:C10)</f>
        <v>0</v>
      </c>
      <c r="D11" s="15"/>
    </row>
    <row r="12" ht="10.95" customHeight="true" customFormat="true" s="9">
      <c r="A12" s="12"/>
      <c r="B12" s="12" t="s">
        <v>68</v>
      </c>
      <c r="C12" s="12"/>
      <c r="D12" s="12"/>
    </row>
    <row r="13" ht="10.95" customHeight="true" customFormat="true" s="9">
      <c r="B13" s="13" t="s">
        <v>69</v>
      </c>
      <c r="C13" s="14">
        <v>372.7500</v>
      </c>
      <c r="D13" s="13"/>
    </row>
    <row r="14" ht="10.95" customHeight="true" customFormat="true" s="9">
      <c r="B14" s="15" t="s">
        <v>70</v>
      </c>
      <c r="C14" s="16">
        <f ca="1">C13</f>
        <v>0</v>
      </c>
      <c r="D14" s="15"/>
    </row>
    <row r="15" ht="10.95" customHeight="true" customFormat="true" s="9">
      <c r="A15" s="12"/>
      <c r="B15" s="12" t="s">
        <v>71</v>
      </c>
      <c r="C15" s="12"/>
      <c r="D15" s="12"/>
    </row>
    <row r="16" ht="10.95" customHeight="true" customFormat="true" s="9">
      <c r="B16" s="13" t="s">
        <v>72</v>
      </c>
      <c r="C16" s="14">
        <v>1657.0700</v>
      </c>
      <c r="D16" s="13"/>
    </row>
    <row r="17" ht="10.95" customHeight="true" customFormat="true" s="9">
      <c r="B17" s="13" t="s">
        <v>73</v>
      </c>
      <c r="C17" s="14">
        <v>-466.3000</v>
      </c>
      <c r="D17" s="13"/>
    </row>
    <row r="18" ht="10.95" customHeight="true" customFormat="true" s="9">
      <c r="B18" s="15" t="s">
        <v>74</v>
      </c>
      <c r="C18" s="16">
        <f ca="1">SUM(C16:C17)</f>
        <v>0</v>
      </c>
      <c r="D18" s="15"/>
    </row>
    <row r="19" ht="10.95" customHeight="true" customFormat="true" s="9">
      <c r="A19" s="15" t="s">
        <v>75</v>
      </c>
      <c r="C19" s="16">
        <f ca="1">(0 + ((C11 + C14) + C18))</f>
        <v>0</v>
      </c>
      <c r="D19" s="15"/>
    </row>
    <row r="20" ht="13.35" customHeight="true"/>
    <row r="21" ht="12.1" customHeight="true" customFormat="true" s="5">
      <c r="A21" s="6" t="s">
        <v>76</v>
      </c>
      <c r="B21" s="6"/>
      <c r="C21" s="6"/>
      <c r="D21" s="6"/>
    </row>
    <row r="22" ht="10.95" customHeight="true" customFormat="true" s="9">
      <c r="A22" s="12"/>
      <c r="B22" s="12" t="s">
        <v>77</v>
      </c>
      <c r="C22" s="12"/>
      <c r="D22" s="12"/>
    </row>
    <row r="23" ht="10.95" customHeight="true" customFormat="true" s="9">
      <c r="B23" s="13" t="s">
        <v>78</v>
      </c>
      <c r="C23" s="14">
        <v>50010.8100</v>
      </c>
      <c r="D23" s="13" t="s">
        <v>65</v>
      </c>
    </row>
    <row r="24" ht="10.95" customHeight="true" customFormat="true" s="9">
      <c r="B24" s="13" t="s">
        <v>79</v>
      </c>
      <c r="C24" s="14">
        <v>0.0100</v>
      </c>
      <c r="D24" s="13"/>
    </row>
    <row r="25" ht="10.95" customHeight="true" customFormat="true" s="9">
      <c r="B25" s="15" t="s">
        <v>80</v>
      </c>
      <c r="C25" s="16">
        <f ca="1">SUM(C23:C24)</f>
        <v>0</v>
      </c>
      <c r="D25" s="15"/>
    </row>
    <row r="26" ht="10.95" customHeight="true" customFormat="true" s="9">
      <c r="A26" s="15" t="s">
        <v>81</v>
      </c>
      <c r="C26" s="16">
        <f ca="1">(0 + C25)</f>
        <v>0</v>
      </c>
      <c r="D26" s="15"/>
    </row>
    <row r="27" ht="13.35" customHeight="true"/>
    <row r="28" ht="10.95" customHeight="true" customFormat="true" s="9">
      <c r="B28" s="17" t="s">
        <v>82</v>
      </c>
      <c r="C28" s="18">
        <f ca="1">(C19 - C26)</f>
        <v>0</v>
      </c>
      <c r="D28" s="17"/>
    </row>
    <row r="29" ht="13.35" customHeight="true"/>
    <row r="30" ht="12.1" customHeight="true" customFormat="true" s="5">
      <c r="A30" s="6" t="s">
        <v>83</v>
      </c>
      <c r="B30" s="6"/>
      <c r="C30" s="6"/>
      <c r="D30" s="6"/>
    </row>
    <row r="31" ht="10.95" customHeight="true" customFormat="true" s="9">
      <c r="B31" s="10" t="s">
        <v>84</v>
      </c>
      <c r="C31" s="11">
        <v>-16377.9900</v>
      </c>
      <c r="D31" s="10"/>
    </row>
    <row r="32" ht="10.95" customHeight="true" customFormat="true" s="9">
      <c r="B32" s="13" t="s">
        <v>85</v>
      </c>
      <c r="C32" s="14">
        <v>118395.4500</v>
      </c>
      <c r="D32" s="13"/>
    </row>
    <row r="33" ht="10.95" customHeight="true" customFormat="true" s="9">
      <c r="A33" s="15" t="s">
        <v>86</v>
      </c>
      <c r="C33" s="16">
        <f ca="1">SUM(C31:C32)</f>
        <v>0</v>
      </c>
      <c r="D33" s="15"/>
    </row>
    <row r="34" ht="13.35" customHeight="true"/>
    <row r="35" ht="13.35" customHeight="true"/>
    <row r="36" ht="10.95" customHeight="true">
      <c r="A36" s="19" t="s">
        <v>87</v>
      </c>
    </row>
    <row r="37" ht="10.95" customHeight="true">
      <c r="A37" s="20" t="s">
        <v>61</v>
      </c>
    </row>
    <row r="38" ht="10.95" customHeight="true">
      <c r="A38" s="19" t="s">
        <v>88</v>
      </c>
    </row>
    <row r="39" ht="10.95" customHeight="true">
      <c r="A39" s="19" t="s">
        <v>89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4"/>
  <sheetViews>
    <sheetView workbookViewId="0" topLeftCell="A1" zoomScaleNormal="100" zoomScaleSheetLayoutView="60" showGridLines="0" zoomScale="100" view="normal"/>
  </sheetViews>
  <sheetFormatPr defaultRowHeight="12.75"/>
  <cols>
    <col min="1" max="1" width="42.5" customWidth="1"/>
  </cols>
  <sheetData>
    <row r="1" ht="16.7" customHeight="true" customFormat="true" s="1">
      <c r="A1" s="2" t="s">
        <v>90</v>
      </c>
    </row>
    <row r="2" ht="14.4" customHeight="true" customFormat="true" s="3">
      <c r="A2" s="4" t="s">
        <v>1</v>
      </c>
    </row>
    <row r="3" ht="14.4" customHeight="true" customFormat="true" s="3">
      <c r="A3" s="4" t="s">
        <v>60</v>
      </c>
    </row>
    <row r="4" ht="14.4" customHeight="true" customFormat="true" s="3">
      <c r="A4" s="4" t="s">
        <v>91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24"/>
  <sheetViews>
    <sheetView workbookViewId="0" topLeftCell="A1" zoomScaleNormal="100" zoomScaleSheetLayoutView="60" showGridLines="0" zoomScale="100" view="normal"/>
  </sheetViews>
  <sheetFormatPr defaultRowHeight="12.75"/>
  <cols>
    <col min="1" max="1" width="57.5" customWidth="1"/>
    <col min="2" max="2" width="9.83203125" customWidth="1"/>
    <col min="3" max="3" width="5.5" customWidth="1"/>
    <col min="4" max="4" width="12.16015625" customWidth="1"/>
    <col min="5" max="5" width="5.5" customWidth="1"/>
    <col min="6" max="6" width="10.33203125" customWidth="1"/>
    <col min="7" max="8" width="11.16015625" customWidth="1"/>
    <col min="9" max="10" width="7.33203125" customWidth="1"/>
  </cols>
  <sheetData>
    <row r="1" ht="16.7" customHeight="true" customFormat="true" s="1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4" customHeight="true" customFormat="true" s="3">
      <c r="A3" s="4" t="s">
        <v>60</v>
      </c>
      <c r="B3" s="4"/>
      <c r="C3" s="4"/>
      <c r="D3" s="4"/>
      <c r="E3" s="4"/>
      <c r="F3" s="4"/>
      <c r="G3" s="4"/>
      <c r="H3" s="4"/>
      <c r="I3" s="4"/>
      <c r="J3" s="4"/>
    </row>
    <row r="4" ht="14.4" customHeight="true" customFormat="true" s="3">
      <c r="A4" s="4" t="s">
        <v>91</v>
      </c>
      <c r="B4" s="4"/>
      <c r="C4" s="4"/>
      <c r="D4" s="4"/>
      <c r="E4" s="4"/>
      <c r="F4" s="4"/>
      <c r="G4" s="4"/>
      <c r="H4" s="4"/>
      <c r="I4" s="4"/>
      <c r="J4" s="4"/>
    </row>
    <row r="5" ht="13.35" customHeight="true"/>
    <row r="6" ht="12.1" customHeight="true" customFormat="true" s="5">
      <c r="A6" s="7" t="s">
        <v>93</v>
      </c>
      <c r="B6" s="8" t="s">
        <v>94</v>
      </c>
      <c r="C6" s="8"/>
      <c r="D6" s="8" t="s">
        <v>95</v>
      </c>
      <c r="E6" s="8"/>
      <c r="F6" s="8" t="s">
        <v>96</v>
      </c>
      <c r="G6" s="8" t="s">
        <v>97</v>
      </c>
      <c r="H6" s="8" t="s">
        <v>98</v>
      </c>
      <c r="I6" s="8" t="s">
        <v>99</v>
      </c>
      <c r="J6" s="8" t="s">
        <v>9</v>
      </c>
    </row>
    <row r="7" ht="13.35" customHeight="true"/>
    <row r="8" ht="12.1" customHeight="true" customFormat="true" s="5">
      <c r="A8" s="6" t="s">
        <v>100</v>
      </c>
      <c r="B8" s="6"/>
      <c r="C8" s="6"/>
      <c r="D8" s="6"/>
      <c r="E8" s="6"/>
      <c r="F8" s="6"/>
      <c r="G8" s="6"/>
      <c r="H8" s="6"/>
      <c r="I8" s="6"/>
      <c r="J8" s="6"/>
    </row>
    <row r="9" ht="10.95" customHeight="true" customFormat="true" s="9">
      <c r="A9" s="10" t="s">
        <v>101</v>
      </c>
      <c r="B9" s="11">
        <v>0</v>
      </c>
      <c r="C9" s="10"/>
      <c r="D9" s="11">
        <v>274.69</v>
      </c>
      <c r="E9" s="10" t="s">
        <v>65</v>
      </c>
      <c r="F9" s="11">
        <v>0</v>
      </c>
      <c r="G9" s="11">
        <v>0</v>
      </c>
      <c r="H9" s="11">
        <v>0</v>
      </c>
      <c r="I9" s="11">
        <v>0</v>
      </c>
      <c r="J9" s="11">
        <v>274.69</v>
      </c>
    </row>
    <row r="10" ht="10.95" customHeight="true" customFormat="true" s="9">
      <c r="A10" s="13" t="s">
        <v>102</v>
      </c>
      <c r="B10" s="14">
        <v>0</v>
      </c>
      <c r="C10" s="13"/>
      <c r="D10" s="14">
        <v>10000.00</v>
      </c>
      <c r="E10" s="13"/>
      <c r="F10" s="14">
        <v>10000.00</v>
      </c>
      <c r="G10" s="14">
        <v>10000.00</v>
      </c>
      <c r="H10" s="14">
        <v>6000.00</v>
      </c>
      <c r="I10" s="14">
        <v>0</v>
      </c>
      <c r="J10" s="14">
        <v>36000.00</v>
      </c>
    </row>
    <row r="11" ht="10.95" customHeight="true" customFormat="true" s="9">
      <c r="A11" s="13" t="s">
        <v>103</v>
      </c>
      <c r="B11" s="14">
        <v>0</v>
      </c>
      <c r="C11" s="13"/>
      <c r="D11" s="14">
        <v>0</v>
      </c>
      <c r="E11" s="13"/>
      <c r="F11" s="14">
        <v>202.40</v>
      </c>
      <c r="G11" s="14">
        <v>0</v>
      </c>
      <c r="H11" s="14">
        <v>0</v>
      </c>
      <c r="I11" s="14">
        <v>0</v>
      </c>
      <c r="J11" s="14">
        <v>202.40</v>
      </c>
    </row>
    <row r="12" ht="10.95" customHeight="true" customFormat="true" s="9">
      <c r="A12" s="13" t="s">
        <v>104</v>
      </c>
      <c r="B12" s="14">
        <v>0</v>
      </c>
      <c r="C12" s="13"/>
      <c r="D12" s="14">
        <v>540.00</v>
      </c>
      <c r="E12" s="13"/>
      <c r="F12" s="14">
        <v>0</v>
      </c>
      <c r="G12" s="14">
        <v>0</v>
      </c>
      <c r="H12" s="14">
        <v>0</v>
      </c>
      <c r="I12" s="14">
        <v>0</v>
      </c>
      <c r="J12" s="14">
        <v>540.00</v>
      </c>
    </row>
    <row r="13" ht="10.95" customHeight="true" customFormat="true" s="9">
      <c r="A13" s="13" t="s">
        <v>105</v>
      </c>
      <c r="B13" s="14">
        <v>5493.72</v>
      </c>
      <c r="C13" s="13" t="s">
        <v>65</v>
      </c>
      <c r="D13" s="14">
        <v>0</v>
      </c>
      <c r="E13" s="13"/>
      <c r="F13" s="14">
        <v>0</v>
      </c>
      <c r="G13" s="14">
        <v>0</v>
      </c>
      <c r="H13" s="14">
        <v>0</v>
      </c>
      <c r="I13" s="14">
        <v>0</v>
      </c>
      <c r="J13" s="14">
        <v>5493.72</v>
      </c>
    </row>
    <row r="14" ht="10.95" customHeight="true" customFormat="true" s="9">
      <c r="A14" s="13" t="s">
        <v>106</v>
      </c>
      <c r="B14" s="14">
        <v>7500.00</v>
      </c>
      <c r="C14" s="13"/>
      <c r="D14" s="14">
        <v>0</v>
      </c>
      <c r="E14" s="13"/>
      <c r="F14" s="14">
        <v>0</v>
      </c>
      <c r="G14" s="14">
        <v>0</v>
      </c>
      <c r="H14" s="14">
        <v>0</v>
      </c>
      <c r="I14" s="14">
        <v>0</v>
      </c>
      <c r="J14" s="14">
        <v>7500.00</v>
      </c>
    </row>
    <row r="15" ht="10.95" customHeight="true" customFormat="true" s="9">
      <c r="A15" s="15" t="s">
        <v>107</v>
      </c>
      <c r="B15" s="16">
        <f ca="1">SUM(B9:B14)</f>
        <v>0</v>
      </c>
      <c r="C15" s="15"/>
      <c r="D15" s="16">
        <f ca="1">SUM(D9:D14)</f>
        <v>0</v>
      </c>
      <c r="E15" s="15"/>
      <c r="F15" s="16">
        <f ca="1">SUM(F9:F14)</f>
        <v>0</v>
      </c>
      <c r="G15" s="16">
        <f ca="1">SUM(G9:G14)</f>
        <v>0</v>
      </c>
      <c r="H15" s="16">
        <f ca="1">SUM(H9:H14)</f>
        <v>0</v>
      </c>
      <c r="I15" s="16">
        <f ca="1">SUM(I9:I14)</f>
        <v>0</v>
      </c>
      <c r="J15" s="16">
        <f ca="1">SUM(J9:J14)</f>
        <v>0</v>
      </c>
    </row>
    <row r="16" ht="13.35" customHeight="true"/>
    <row r="17" ht="10.95" customHeight="true" customFormat="true" s="9">
      <c r="A17" s="17" t="s">
        <v>9</v>
      </c>
      <c r="B17" s="18">
        <f ca="1">B15</f>
        <v>0</v>
      </c>
      <c r="C17" s="17"/>
      <c r="D17" s="18">
        <f ca="1">D15</f>
        <v>0</v>
      </c>
      <c r="E17" s="17"/>
      <c r="F17" s="18">
        <f ca="1">F15</f>
        <v>0</v>
      </c>
      <c r="G17" s="18">
        <f ca="1">G15</f>
        <v>0</v>
      </c>
      <c r="H17" s="18">
        <f ca="1">H15</f>
        <v>0</v>
      </c>
      <c r="I17" s="18">
        <f ca="1">I15</f>
        <v>0</v>
      </c>
      <c r="J17" s="18">
        <f ca="1">J15</f>
        <v>0</v>
      </c>
    </row>
    <row r="18" ht="13.35" customHeight="true"/>
    <row r="19" ht="10.95" customHeight="true" customFormat="true" s="9">
      <c r="A19" s="17" t="s">
        <v>108</v>
      </c>
      <c r="B19" s="21">
        <f ca="1">0</f>
        <v>0</v>
      </c>
      <c r="C19" s="17"/>
      <c r="D19" s="21">
        <f ca="1">0</f>
        <v>0</v>
      </c>
      <c r="E19" s="17"/>
      <c r="F19" s="21">
        <f ca="1">0</f>
        <v>0</v>
      </c>
      <c r="G19" s="21">
        <f ca="1">0</f>
        <v>0</v>
      </c>
      <c r="H19" s="21">
        <f ca="1">0</f>
        <v>0</v>
      </c>
      <c r="I19" s="21">
        <f ca="1">0</f>
        <v>0</v>
      </c>
      <c r="J19" s="21">
        <f ca="1">0</f>
        <v>0</v>
      </c>
    </row>
    <row r="20" ht="13.35" customHeight="true"/>
    <row r="21" ht="13.35" customHeight="true"/>
    <row r="22" ht="10.95" customHeight="true">
      <c r="A22" s="19" t="s">
        <v>87</v>
      </c>
    </row>
    <row r="23" ht="10.95" customHeight="true">
      <c r="A23" s="20" t="s">
        <v>61</v>
      </c>
    </row>
    <row r="24" ht="10.95" customHeight="true">
      <c r="A24" s="19" t="s">
        <v>89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978FD413154468326E670F04C8B06" ma:contentTypeVersion="15" ma:contentTypeDescription="Create a new document." ma:contentTypeScope="" ma:versionID="6e3d3b25ecc81f809ef9515c52061378">
  <xsd:schema xmlns:xsd="http://www.w3.org/2001/XMLSchema" xmlns:xs="http://www.w3.org/2001/XMLSchema" xmlns:p="http://schemas.microsoft.com/office/2006/metadata/properties" xmlns:ns2="d6eed3e6-46d3-4982-9a52-77b9f88a950f" xmlns:ns3="1992903e-44a0-434f-abaa-25872a393aed" targetNamespace="http://schemas.microsoft.com/office/2006/metadata/properties" ma:root="true" ma:fieldsID="7110c2528e4c7c4e01f0ec11a5c0c178" ns2:_="" ns3:_="">
    <xsd:import namespace="d6eed3e6-46d3-4982-9a52-77b9f88a950f"/>
    <xsd:import namespace="1992903e-44a0-434f-abaa-25872a393a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ed3e6-46d3-4982-9a52-77b9f88a95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a7b472-6be5-406d-bbd5-0a2d8832cdc6}" ma:internalName="TaxCatchAll" ma:showField="CatchAllData" ma:web="d6eed3e6-46d3-4982-9a52-77b9f88a95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2903e-44a0-434f-abaa-25872a393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ed0b52-a196-47b6-8260-1695e5281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2903e-44a0-434f-abaa-25872a393aed">
      <Terms xmlns="http://schemas.microsoft.com/office/infopath/2007/PartnerControls"/>
    </lcf76f155ced4ddcb4097134ff3c332f>
    <TaxCatchAll xmlns="d6eed3e6-46d3-4982-9a52-77b9f88a950f" xsi:nil="true"/>
  </documentManagement>
</p:properties>
</file>

<file path=customXml/itemProps1.xml><?xml version="1.0" encoding="utf-8"?>
<ds:datastoreItem xmlns:ds="http://schemas.openxmlformats.org/officeDocument/2006/customXml" ds:itemID="{12A6A96B-F282-4E50-9E2C-7E9E568EC79F}"/>
</file>

<file path=customXml/itemProps2.xml><?xml version="1.0" encoding="utf-8"?>
<ds:datastoreItem xmlns:ds="http://schemas.openxmlformats.org/officeDocument/2006/customXml" ds:itemID="{E402E858-901F-4D53-B2BA-C5EB17231B35}"/>
</file>

<file path=customXml/itemProps3.xml><?xml version="1.0" encoding="utf-8"?>
<ds:datastoreItem xmlns:ds="http://schemas.openxmlformats.org/officeDocument/2006/customXml" ds:itemID="{67092BF1-47AC-4F41-B0F8-F538FF49FFC4}"/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0x0101005A3978FD413154468326E670F04C8B06</vt:lpwstr>
  </property>
</Properties>
</file>