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updateLinks="always"/>
  <mc:AlternateContent xmlns:mc="http://schemas.openxmlformats.org/markup-compatibility/2006">
    <mc:Choice Requires="x15">
      <x15ac:absPath xmlns:x15ac="http://schemas.microsoft.com/office/spreadsheetml/2010/11/ac" url="https://victimadvocatesintl.sharepoint.com/sites/VAIAdminandFinance2/3 Governance/3.1 Board of Directors/3.1.2 Board Meetings/2025/Q4/"/>
    </mc:Choice>
  </mc:AlternateContent>
  <xr:revisionPtr revIDLastSave="148" documentId="8_{EA00608F-06BC-5F43-A364-56D82515C695}" xr6:coauthVersionLast="47" xr6:coauthVersionMax="47" xr10:uidLastSave="{D92E3000-B8AF-D645-873B-6AB03887806D}"/>
  <bookViews>
    <workbookView xWindow="120" yWindow="760" windowWidth="23420" windowHeight="18360" xr2:uid="{EB9504CF-B9D6-BA4A-BC42-BE0D857E7B09}"/>
  </bookViews>
  <sheets>
    <sheet name="Sheet1" sheetId="1" r:id="rId1"/>
    <sheet name="Sheet2" sheetId="2" r:id="rId2"/>
  </sheets>
  <externalReferences>
    <externalReference r:id="rId3"/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I26" i="1"/>
  <c r="H4" i="1"/>
  <c r="J18" i="1"/>
  <c r="J13" i="1"/>
  <c r="J12" i="1"/>
  <c r="J9" i="1" l="1"/>
  <c r="G5" i="1"/>
  <c r="G6" i="1"/>
  <c r="G7" i="1"/>
  <c r="G8" i="1"/>
  <c r="F8" i="1" s="1"/>
  <c r="G12" i="1"/>
  <c r="G13" i="1"/>
  <c r="G10" i="1"/>
  <c r="H3" i="1"/>
  <c r="H20" i="1"/>
  <c r="I20" i="1"/>
  <c r="H9" i="1"/>
  <c r="E13" i="1"/>
  <c r="E12" i="1"/>
  <c r="G23" i="1"/>
  <c r="G24" i="1"/>
  <c r="G26" i="1"/>
  <c r="G27" i="1"/>
  <c r="E27" i="1"/>
  <c r="E25" i="1"/>
  <c r="E24" i="1"/>
  <c r="E22" i="1"/>
  <c r="H17" i="1"/>
  <c r="I17" i="1"/>
  <c r="G14" i="1"/>
  <c r="G15" i="1"/>
  <c r="G16" i="1"/>
  <c r="I4" i="1"/>
  <c r="E23" i="1"/>
  <c r="E16" i="1"/>
  <c r="I3" i="1" l="1"/>
  <c r="G4" i="1"/>
  <c r="F12" i="1"/>
  <c r="F13" i="1"/>
  <c r="F24" i="1"/>
  <c r="G22" i="1"/>
  <c r="F23" i="1"/>
  <c r="F16" i="1"/>
  <c r="D11" i="1"/>
  <c r="E11" i="1" s="1"/>
  <c r="E5" i="1"/>
  <c r="F5" i="1" s="1"/>
  <c r="E6" i="1"/>
  <c r="F6" i="1" s="1"/>
  <c r="E7" i="1"/>
  <c r="F7" i="1" s="1"/>
  <c r="E10" i="1"/>
  <c r="E15" i="1"/>
  <c r="F15" i="1" s="1"/>
  <c r="E18" i="1"/>
  <c r="E19" i="1"/>
  <c r="E21" i="1"/>
  <c r="E26" i="1"/>
  <c r="F26" i="1" s="1"/>
  <c r="E4" i="1"/>
  <c r="J3" i="1" s="1"/>
  <c r="G25" i="1" l="1"/>
  <c r="F25" i="1" s="1"/>
  <c r="E20" i="1"/>
  <c r="J17" i="1"/>
  <c r="E9" i="1"/>
  <c r="E3" i="1"/>
  <c r="G19" i="1"/>
  <c r="E17" i="1"/>
  <c r="G18" i="1"/>
  <c r="G17" i="1" s="1"/>
  <c r="G11" i="1"/>
  <c r="G9" i="1" s="1"/>
  <c r="F4" i="1" l="1"/>
  <c r="F3" i="1" s="1"/>
  <c r="F10" i="1"/>
  <c r="I9" i="1"/>
  <c r="G21" i="1"/>
  <c r="G20" i="1" s="1"/>
  <c r="J20" i="1"/>
  <c r="F19" i="1"/>
  <c r="F11" i="1"/>
  <c r="E28" i="1"/>
  <c r="F9" i="1" l="1"/>
  <c r="F18" i="1"/>
  <c r="F17" i="1" s="1"/>
  <c r="I28" i="1"/>
  <c r="F27" i="1" l="1"/>
  <c r="H28" i="1"/>
  <c r="F22" i="1"/>
  <c r="J28" i="1"/>
  <c r="G28" i="1" l="1"/>
  <c r="F21" i="1"/>
  <c r="F20" i="1" s="1"/>
  <c r="F2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Eva Buzo</author>
  </authors>
  <commentList>
    <comment ref="I4" authorId="0" shapeId="0" xr:uid="{CDFFEEA5-BA4B-4C4A-927A-651127BD12F1}">
      <text>
        <r>
          <rPr>
            <b/>
            <sz val="10"/>
            <color rgb="FF000000"/>
            <rFont val="Tahoma"/>
            <family val="2"/>
          </rPr>
          <t>Eva Buzo: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Monthly amount: 2130
</t>
        </r>
        <r>
          <rPr>
            <sz val="10"/>
            <color rgb="FF000000"/>
            <rFont val="Tahoma"/>
            <family val="2"/>
          </rPr>
          <t>Budget for 18 months</t>
        </r>
      </text>
    </comment>
    <comment ref="H11" authorId="0" shapeId="0" xr:uid="{877FD301-9DD8-9449-8468-9996162D327A}">
      <text>
        <r>
          <rPr>
            <b/>
            <sz val="10"/>
            <color rgb="FF000000"/>
            <rFont val="Tahoma"/>
            <family val="2"/>
          </rPr>
          <t>Eva Buzo: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4 months budget</t>
        </r>
      </text>
    </comment>
    <comment ref="I11" authorId="0" shapeId="0" xr:uid="{0A05FD82-3D0D-B34F-848B-700D5650BEC9}">
      <text>
        <r>
          <rPr>
            <b/>
            <sz val="10"/>
            <color rgb="FF000000"/>
            <rFont val="Tahoma"/>
            <family val="2"/>
          </rPr>
          <t>Eva Buzo: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8 month budget for 2026  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Additional 3 month 2027 budgeted for </t>
        </r>
      </text>
    </comment>
  </commentList>
</comments>
</file>

<file path=xl/sharedStrings.xml><?xml version="1.0" encoding="utf-8"?>
<sst xmlns="http://schemas.openxmlformats.org/spreadsheetml/2006/main" count="58" uniqueCount="41">
  <si>
    <t>2026 Budget</t>
  </si>
  <si>
    <t>OSF - Operating</t>
  </si>
  <si>
    <t>Project Funding Total</t>
  </si>
  <si>
    <t>Swiss - Myanmar</t>
  </si>
  <si>
    <t>Unit</t>
  </si>
  <si>
    <t>Number</t>
  </si>
  <si>
    <t>Amount</t>
  </si>
  <si>
    <t>Total (USD)</t>
  </si>
  <si>
    <t>Senior Management</t>
  </si>
  <si>
    <t>Executive Director</t>
  </si>
  <si>
    <t>month</t>
  </si>
  <si>
    <t>COLA</t>
  </si>
  <si>
    <t>Senior Legal Advisor</t>
  </si>
  <si>
    <t>Rohingya Accountability Programme</t>
  </si>
  <si>
    <t>Volunteer Stipends</t>
  </si>
  <si>
    <t>Vehicle Hire &amp; Sundry</t>
  </si>
  <si>
    <t>Rohingya India</t>
  </si>
  <si>
    <t>Partner Expenses (Azadi Project)</t>
  </si>
  <si>
    <t>lumpsum</t>
  </si>
  <si>
    <t>Lawyer Fees</t>
  </si>
  <si>
    <t>Communications</t>
  </si>
  <si>
    <t>Communications Advisor</t>
  </si>
  <si>
    <t>Communication Support</t>
  </si>
  <si>
    <t>Finance &amp; Operations</t>
  </si>
  <si>
    <t>Finance Manager</t>
  </si>
  <si>
    <t>Operations Support</t>
  </si>
  <si>
    <t>Audit</t>
  </si>
  <si>
    <t>Board Meetings</t>
  </si>
  <si>
    <t>Technology &amp; Software</t>
  </si>
  <si>
    <t>Travel Expenses</t>
  </si>
  <si>
    <t>Fees</t>
  </si>
  <si>
    <t>Total</t>
  </si>
  <si>
    <t>Project Manager</t>
  </si>
  <si>
    <t>Programme Manager</t>
  </si>
  <si>
    <t>Swiss - Myanmar (Nov 25 - Mar 27)</t>
  </si>
  <si>
    <t>FCDO (Nov 25 - Mar 26)</t>
  </si>
  <si>
    <t>Swiss - Dhaka (Oct 24 - Mar 26)</t>
  </si>
  <si>
    <t>Column1</t>
  </si>
  <si>
    <t>Column2</t>
  </si>
  <si>
    <t>Column3</t>
  </si>
  <si>
    <t>Column4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</si>
</sst>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2"/>
      <color theme="1"/>
      <name val="Fagun Book"/>
    </font>
    <font>
      <b/>
      <sz val="12"/>
      <color theme="0"/>
      <name val="Fagun Book"/>
    </font>
    <font>
      <sz val="12"/>
      <color theme="0"/>
      <name val="Fagun Book"/>
    </font>
    <font>
      <sz val="12"/>
      <color rgb="FF96FF14"/>
      <name val="Fagun Medium"/>
    </font>
  </fonts>
  <fills count="4">
    <fill>
      <patternFill patternType="none"/>
    </fill>
    <fill>
      <patternFill patternType="gray125"/>
    </fill>
    <fill>
      <patternFill patternType="solid">
        <fgColor rgb="FF410F37"/>
        <bgColor indexed="64"/>
      </patternFill>
    </fill>
    <fill>
      <patternFill patternType="solid">
        <fgColor rgb="FFE12D64"/>
        <bgColor indexed="64"/>
      </patternFill>
    </fill>
  </fills>
  <borders count="21">
    <border>
      <left/>
      <right/>
      <top/>
      <bottom/>
      <diagonal/>
    </border>
    <border>
      <left style="medium">
        <color theme="1"/>
      </left>
      <right style="hair">
        <color theme="1"/>
      </right>
      <top style="medium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medium">
        <color theme="1"/>
      </top>
      <bottom style="hair">
        <color theme="1"/>
      </bottom>
      <diagonal/>
    </border>
    <border>
      <left style="hair">
        <color theme="1"/>
      </left>
      <right style="medium">
        <color theme="1"/>
      </right>
      <top style="medium">
        <color theme="1"/>
      </top>
      <bottom style="hair">
        <color theme="1"/>
      </bottom>
      <diagonal/>
    </border>
    <border>
      <left style="medium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medium">
        <color theme="1"/>
      </right>
      <top style="hair">
        <color theme="1"/>
      </top>
      <bottom style="hair">
        <color theme="1"/>
      </bottom>
      <diagonal/>
    </border>
    <border>
      <left style="medium">
        <color theme="1"/>
      </left>
      <right style="hair">
        <color theme="1"/>
      </right>
      <top style="hair">
        <color theme="1"/>
      </top>
      <bottom style="medium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medium">
        <color theme="1"/>
      </bottom>
      <diagonal/>
    </border>
    <border>
      <left style="hair">
        <color theme="1"/>
      </left>
      <right style="medium">
        <color theme="1"/>
      </right>
      <top style="hair">
        <color theme="1"/>
      </top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0" borderId="0" xfId="0" applyFont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3" fontId="3" fillId="0" borderId="0" xfId="0" applyNumberFormat="1" applyFont="1"/>
    <xf numFmtId="0" fontId="4" fillId="2" borderId="0" xfId="0" applyFont="1" applyFill="1"/>
    <xf numFmtId="0" fontId="4" fillId="2" borderId="5" xfId="0" applyFont="1" applyFill="1" applyBorder="1" applyAlignment="1">
      <alignment horizontal="center"/>
    </xf>
    <xf numFmtId="3" fontId="4" fillId="2" borderId="6" xfId="0" applyNumberFormat="1" applyFont="1" applyFill="1" applyBorder="1" applyAlignment="1">
      <alignment horizontal="right"/>
    </xf>
    <xf numFmtId="3" fontId="3" fillId="0" borderId="5" xfId="0" applyNumberFormat="1" applyFont="1" applyBorder="1"/>
    <xf numFmtId="3" fontId="3" fillId="0" borderId="6" xfId="0" applyNumberFormat="1" applyFont="1" applyBorder="1"/>
    <xf numFmtId="3" fontId="5" fillId="2" borderId="5" xfId="0" applyNumberFormat="1" applyFont="1" applyFill="1" applyBorder="1"/>
    <xf numFmtId="3" fontId="5" fillId="2" borderId="6" xfId="0" applyNumberFormat="1" applyFont="1" applyFill="1" applyBorder="1"/>
    <xf numFmtId="0" fontId="5" fillId="2" borderId="0" xfId="0" applyFont="1" applyFill="1"/>
    <xf numFmtId="0" fontId="5" fillId="3" borderId="0" xfId="0" applyFont="1" applyFill="1"/>
    <xf numFmtId="0" fontId="5" fillId="3" borderId="5" xfId="0" applyFont="1" applyFill="1" applyBorder="1"/>
    <xf numFmtId="0" fontId="5" fillId="3" borderId="6" xfId="0" applyFont="1" applyFill="1" applyBorder="1"/>
    <xf numFmtId="3" fontId="4" fillId="2" borderId="5" xfId="0" applyNumberFormat="1" applyFont="1" applyFill="1" applyBorder="1"/>
    <xf numFmtId="3" fontId="4" fillId="2" borderId="6" xfId="0" applyNumberFormat="1" applyFont="1" applyFill="1" applyBorder="1"/>
    <xf numFmtId="3" fontId="4" fillId="2" borderId="8" xfId="0" applyNumberFormat="1" applyFont="1" applyFill="1" applyBorder="1"/>
    <xf numFmtId="3" fontId="4" fillId="2" borderId="9" xfId="0" applyNumberFormat="1" applyFont="1" applyFill="1" applyBorder="1"/>
    <xf numFmtId="3" fontId="4" fillId="2" borderId="0" xfId="0" applyNumberFormat="1" applyFont="1" applyFill="1" applyAlignment="1">
      <alignment horizontal="right"/>
    </xf>
    <xf numFmtId="3" fontId="5" fillId="2" borderId="0" xfId="0" applyNumberFormat="1" applyFont="1" applyFill="1"/>
    <xf numFmtId="3" fontId="4" fillId="2" borderId="0" xfId="0" applyNumberFormat="1" applyFont="1" applyFill="1"/>
    <xf numFmtId="0" fontId="4" fillId="2" borderId="11" xfId="0" applyFont="1" applyFill="1" applyBorder="1"/>
    <xf numFmtId="3" fontId="4" fillId="2" borderId="12" xfId="0" applyNumberFormat="1" applyFont="1" applyFill="1" applyBorder="1"/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3" fillId="0" borderId="15" xfId="0" applyFont="1" applyBorder="1"/>
    <xf numFmtId="3" fontId="4" fillId="2" borderId="15" xfId="0" applyNumberFormat="1" applyFont="1" applyFill="1" applyBorder="1" applyAlignment="1">
      <alignment horizontal="right"/>
    </xf>
    <xf numFmtId="3" fontId="3" fillId="0" borderId="15" xfId="0" applyNumberFormat="1" applyFont="1" applyBorder="1"/>
    <xf numFmtId="3" fontId="5" fillId="2" borderId="15" xfId="0" applyNumberFormat="1" applyFont="1" applyFill="1" applyBorder="1"/>
    <xf numFmtId="0" fontId="5" fillId="3" borderId="15" xfId="0" applyFont="1" applyFill="1" applyBorder="1"/>
    <xf numFmtId="3" fontId="4" fillId="2" borderId="15" xfId="0" applyNumberFormat="1" applyFont="1" applyFill="1" applyBorder="1"/>
    <xf numFmtId="3" fontId="4" fillId="2" borderId="16" xfId="0" applyNumberFormat="1" applyFont="1" applyFill="1" applyBorder="1"/>
    <xf numFmtId="3" fontId="4" fillId="2" borderId="17" xfId="0" applyNumberFormat="1" applyFont="1" applyFill="1" applyBorder="1"/>
    <xf numFmtId="3" fontId="4" fillId="2" borderId="19" xfId="0" applyNumberFormat="1" applyFont="1" applyFill="1" applyBorder="1" applyAlignment="1">
      <alignment horizontal="right"/>
    </xf>
    <xf numFmtId="0" fontId="6" fillId="2" borderId="13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/>
    </xf>
    <xf numFmtId="3" fontId="6" fillId="2" borderId="18" xfId="0" applyNumberFormat="1" applyFont="1" applyFill="1" applyBorder="1" applyAlignment="1">
      <alignment horizontal="right" vertical="center" wrapText="1"/>
    </xf>
    <xf numFmtId="0" fontId="3" fillId="0" borderId="19" xfId="0" applyFont="1" applyBorder="1" applyAlignment="1">
      <alignment horizontal="right"/>
    </xf>
    <xf numFmtId="3" fontId="3" fillId="0" borderId="19" xfId="0" applyNumberFormat="1" applyFont="1" applyBorder="1" applyAlignment="1">
      <alignment horizontal="right"/>
    </xf>
    <xf numFmtId="3" fontId="5" fillId="2" borderId="19" xfId="0" applyNumberFormat="1" applyFont="1" applyFill="1" applyBorder="1" applyAlignment="1">
      <alignment horizontal="right"/>
    </xf>
    <xf numFmtId="0" fontId="5" fillId="3" borderId="19" xfId="0" applyFont="1" applyFill="1" applyBorder="1" applyAlignment="1">
      <alignment horizontal="right"/>
    </xf>
    <xf numFmtId="3" fontId="4" fillId="2" borderId="20" xfId="0" applyNumberFormat="1" applyFont="1" applyFill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0" borderId="0" xfId="0" applyFont="1" applyBorder="1"/>
    <xf numFmtId="0" fontId="4" fillId="2" borderId="0" xfId="0" applyFont="1" applyFill="1" applyBorder="1"/>
    <xf numFmtId="0" fontId="5" fillId="3" borderId="0" xfId="0" applyFont="1" applyFill="1" applyBorder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6FF14"/>
        <name val="Fagun Medium"/>
        <scheme val="none"/>
      </font>
      <fill>
        <patternFill patternType="solid">
          <fgColor indexed="64"/>
          <bgColor rgb="FF410F37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Fagun Book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Fagun Book"/>
        <scheme val="none"/>
      </font>
      <numFmt numFmtId="3" formatCode="#,##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Fagun Book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Fagun Book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Fagun Book"/>
        <scheme val="none"/>
      </font>
      <numFmt numFmtId="3" formatCode="#,##0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Fagun Book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Fagun Book"/>
        <scheme val="none"/>
      </font>
      <numFmt numFmtId="3" formatCode="#,##0"/>
      <border diagonalUp="0" diagonalDown="0">
        <left style="hair">
          <color theme="1"/>
        </left>
        <right style="medium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Fagun Book"/>
        <scheme val="none"/>
      </font>
      <numFmt numFmtId="3" formatCode="#,##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Fagun Book"/>
        <scheme val="none"/>
      </font>
      <alignment horizontal="center" vertical="center" textRotation="0" wrapText="0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Fagun Book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Fagun Book"/>
        <scheme val="none"/>
      </font>
    </dxf>
    <dxf>
      <border outline="0">
        <left style="medium">
          <color theme="1"/>
        </left>
      </border>
    </dxf>
  </dxfs>
  <tableStyles count="0" defaultTableStyle="TableStyleMedium2" defaultPivotStyle="PivotStyleLight16"/>
  <colors>
    <mruColors>
      <color rgb="FF96FF14"/>
      <color rgb="FF410F37"/>
      <color rgb="FFE12D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victimadvocatesintl.sharepoint.com/sites/VAIAdminandFinance2/1%20Finance/1.7%20Grant%20Agreements%20&amp;%20Reports/1.7.1%20Asia/1.7.1.19%20Swiss%20(Myanmar)/2025.11%20-%20Towards%20a%20More%20Peaceful%20Arakan%20-%20Budget.xlsx" TargetMode="External"/><Relationship Id="rId1" Type="http://schemas.openxmlformats.org/officeDocument/2006/relationships/externalLinkPath" Target="/sites/VAIAdminandFinance2/1%20Finance/1.7%20Grant%20Agreements%20&amp;%20Reports/1.7.1%20Asia/1.7.1.19%20Swiss%20(Myanmar)/2025.11%20-%20Towards%20a%20More%20Peaceful%20Arakan%20-%20Budge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victimadvocatesintl.sharepoint.com/sites/RohingyaAccountabilityProgramme/Rohingya%20Accountability%20Programme/7.1%208%20Fundraising/FCDO/7%2010%2025%20FCDO%20Budget%202025-27%20SWD.xlsx" TargetMode="External"/><Relationship Id="rId1" Type="http://schemas.openxmlformats.org/officeDocument/2006/relationships/externalLinkPath" Target="/sites/RohingyaAccountabilityProgramme/Rohingya%20Accountability%20Programme/7.1%208%20Fundraising/FCDO/7%2010%2025%20FCDO%20Budget%202025-27%20SW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l "/>
    </sheetNames>
    <sheetDataSet>
      <sheetData sheetId="0">
        <row r="20">
          <cell r="G20">
            <v>38340</v>
          </cell>
        </row>
        <row r="22">
          <cell r="G22">
            <v>9000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NHpE6CzKXU-SUNZJkRUEfw-eFwwbiXhKkfNhhNAYA0BwPG7wHYmcSLfua07I4FUJ" itemId="01VAUXPUM7MGOEBKMMXFGZ4LB4W575UJFJ">
      <xxl21:absoluteUrl r:id="rId2"/>
    </xxl21:alternateUrls>
    <sheetNames>
      <sheetName val="Sheet1"/>
      <sheetName val="Sheet1 (2)"/>
    </sheetNames>
    <sheetDataSet>
      <sheetData sheetId="0"/>
      <sheetData sheetId="1">
        <row r="9">
          <cell r="F9">
            <v>20250</v>
          </cell>
        </row>
        <row r="10">
          <cell r="F10">
            <v>6750</v>
          </cell>
        </row>
        <row r="29">
          <cell r="F29">
            <v>9720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C422CE-2501-084A-8EC4-5DCE131C21D5}" name="Table1" displayName="Table1" ref="A1:J27" totalsRowShown="0" headerRowDxfId="0" dataDxfId="1" tableBorderDxfId="12">
  <autoFilter ref="A1:J27" xr:uid="{94C422CE-2501-084A-8EC4-5DCE131C21D5}"/>
  <tableColumns count="10">
    <tableColumn id="1" xr3:uid="{5FF82666-9919-7E48-81D4-5B25C3E84ECF}" name="2026 Budget" dataDxfId="11"/>
    <tableColumn id="2" xr3:uid="{826ADADA-9242-8E47-85C4-424849C933BC}" name="Column1" dataDxfId="10"/>
    <tableColumn id="3" xr3:uid="{CECB28C0-321F-B24D-96CD-684B4A09CB9C}" name="Column2" dataDxfId="9"/>
    <tableColumn id="4" xr3:uid="{B38708DB-1EC1-9F4E-9316-4226BA4DB99B}" name="Column3" dataDxfId="8"/>
    <tableColumn id="5" xr3:uid="{CF1B7DB9-73A7-204F-9A26-BA9739A420E9}" name="Column4" dataDxfId="7">
      <calculatedColumnFormula>C2*D2</calculatedColumnFormula>
    </tableColumn>
    <tableColumn id="6" xr3:uid="{F7D2DF74-6DA9-FA4C-8823-8C4D80E13F55}" name="OSF - Operating" dataDxfId="6">
      <calculatedColumnFormula>E2-G2</calculatedColumnFormula>
    </tableColumn>
    <tableColumn id="7" xr3:uid="{7FA6FDA8-983D-0640-AA50-37016323AAED}" name="Project Funding Total" dataDxfId="5">
      <calculatedColumnFormula>SUM(H2:J2)</calculatedColumnFormula>
    </tableColumn>
    <tableColumn id="8" xr3:uid="{6B640E75-E761-9B44-8FF4-449AF886FF26}" name="Swiss - Dhaka (Oct 24 - Mar 26)" dataDxfId="4"/>
    <tableColumn id="9" xr3:uid="{544730CF-F027-8240-B92C-5AF72C042D94}" name="Swiss - Myanmar (Nov 25 - Mar 27)" dataDxfId="3"/>
    <tableColumn id="10" xr3:uid="{AB056D7D-5C0F-A84A-8161-2D0A9116694E}" name="FCDO (Nov 25 - Mar 26)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3C200-2261-A542-B1BB-704BB435EB64}">
  <dimension ref="A1:J32"/>
  <sheetViews>
    <sheetView tabSelected="1" zoomScale="97" workbookViewId="0">
      <pane xSplit="1" topLeftCell="B1" activePane="topRight" state="frozen"/>
      <selection pane="topRight" activeCell="E32" sqref="E32"/>
    </sheetView>
  </sheetViews>
  <sheetFormatPr baseColWidth="10" defaultColWidth="10.83203125" defaultRowHeight="17" x14ac:dyDescent="0.2"/>
  <cols>
    <col min="1" max="1" width="32.83203125" style="1" customWidth="1"/>
    <col min="2" max="2" width="11.5" style="25" customWidth="1"/>
    <col min="3" max="3" width="11.83203125" style="25" customWidth="1"/>
    <col min="4" max="4" width="11.83203125" style="1" customWidth="1"/>
    <col min="5" max="5" width="22" style="1" customWidth="1"/>
    <col min="6" max="6" width="23.6640625" style="1" customWidth="1"/>
    <col min="7" max="7" width="24.1640625" style="51" customWidth="1"/>
    <col min="8" max="8" width="33.6640625" style="1" customWidth="1"/>
    <col min="9" max="9" width="36.6640625" style="1" customWidth="1"/>
    <col min="10" max="10" width="26.1640625" style="1" customWidth="1"/>
    <col min="11" max="16384" width="10.83203125" style="1"/>
  </cols>
  <sheetData>
    <row r="1" spans="1:10" s="50" customFormat="1" ht="57" customHeight="1" thickBot="1" x14ac:dyDescent="0.25">
      <c r="A1" s="48" t="s">
        <v>0</v>
      </c>
      <c r="B1" s="48" t="s">
        <v>37</v>
      </c>
      <c r="C1" s="48" t="s">
        <v>38</v>
      </c>
      <c r="D1" s="48" t="s">
        <v>39</v>
      </c>
      <c r="E1" s="48" t="s">
        <v>40</v>
      </c>
      <c r="F1" s="48" t="s">
        <v>1</v>
      </c>
      <c r="G1" s="52" t="s">
        <v>2</v>
      </c>
      <c r="H1" s="47" t="s">
        <v>36</v>
      </c>
      <c r="I1" s="47" t="s">
        <v>34</v>
      </c>
      <c r="J1" s="49" t="s">
        <v>35</v>
      </c>
    </row>
    <row r="2" spans="1:10" x14ac:dyDescent="0.2">
      <c r="A2" s="59"/>
      <c r="B2" s="26" t="s">
        <v>4</v>
      </c>
      <c r="C2" s="27" t="s">
        <v>5</v>
      </c>
      <c r="D2" s="2" t="s">
        <v>6</v>
      </c>
      <c r="E2" s="3" t="s">
        <v>7</v>
      </c>
      <c r="F2" s="4">
        <v>300000</v>
      </c>
      <c r="G2" s="53"/>
      <c r="H2" s="4">
        <v>225000</v>
      </c>
      <c r="I2" s="4">
        <v>74840</v>
      </c>
      <c r="J2" s="4">
        <v>58000</v>
      </c>
    </row>
    <row r="3" spans="1:10" s="5" customFormat="1" x14ac:dyDescent="0.2">
      <c r="A3" s="60" t="s">
        <v>8</v>
      </c>
      <c r="B3" s="28"/>
      <c r="C3" s="29"/>
      <c r="D3" s="6"/>
      <c r="E3" s="7">
        <f>SUM(E4:E8)</f>
        <v>312000</v>
      </c>
      <c r="F3" s="20">
        <f>SUM(F4:F8)</f>
        <v>246712</v>
      </c>
      <c r="G3" s="46"/>
      <c r="H3" s="20">
        <f t="shared" ref="H3:I3" si="0">SUM(H4:H8)</f>
        <v>25560</v>
      </c>
      <c r="I3" s="20">
        <f t="shared" si="0"/>
        <v>25560</v>
      </c>
      <c r="J3" s="39">
        <f>SUM(J4:J8)</f>
        <v>14168</v>
      </c>
    </row>
    <row r="4" spans="1:10" x14ac:dyDescent="0.2">
      <c r="A4" s="59" t="s">
        <v>9</v>
      </c>
      <c r="B4" s="30" t="s">
        <v>10</v>
      </c>
      <c r="C4" s="33">
        <v>12</v>
      </c>
      <c r="D4" s="8">
        <v>14200</v>
      </c>
      <c r="E4" s="9">
        <f>C4*D4</f>
        <v>170400</v>
      </c>
      <c r="F4" s="4">
        <f>E4-G4</f>
        <v>105112</v>
      </c>
      <c r="G4" s="54">
        <f>SUM(H4:J4)</f>
        <v>65288</v>
      </c>
      <c r="H4" s="1">
        <f>('[1]Final '!$G$20/18)*12</f>
        <v>25560</v>
      </c>
      <c r="I4" s="4">
        <f>12*(38340/18)</f>
        <v>25560</v>
      </c>
      <c r="J4" s="40">
        <v>14168</v>
      </c>
    </row>
    <row r="5" spans="1:10" x14ac:dyDescent="0.2">
      <c r="A5" s="59" t="s">
        <v>11</v>
      </c>
      <c r="B5" s="30" t="s">
        <v>10</v>
      </c>
      <c r="C5" s="33">
        <v>12</v>
      </c>
      <c r="D5" s="8">
        <v>1800</v>
      </c>
      <c r="E5" s="9">
        <f t="shared" ref="E5:E27" si="1">C5*D5</f>
        <v>21600</v>
      </c>
      <c r="F5" s="4">
        <f t="shared" ref="F5:F8" si="2">E5-G5</f>
        <v>21600</v>
      </c>
      <c r="G5" s="54">
        <f>SUM(H5:J5)</f>
        <v>0</v>
      </c>
      <c r="H5" s="4"/>
      <c r="I5" s="4"/>
      <c r="J5" s="38"/>
    </row>
    <row r="6" spans="1:10" x14ac:dyDescent="0.2">
      <c r="A6" s="59" t="s">
        <v>12</v>
      </c>
      <c r="B6" s="30" t="s">
        <v>10</v>
      </c>
      <c r="C6" s="33">
        <v>12</v>
      </c>
      <c r="D6" s="8">
        <v>10000</v>
      </c>
      <c r="E6" s="9">
        <f t="shared" si="1"/>
        <v>120000</v>
      </c>
      <c r="F6" s="4">
        <f t="shared" si="2"/>
        <v>120000</v>
      </c>
      <c r="G6" s="54">
        <f>SUM(H6:J6)</f>
        <v>0</v>
      </c>
      <c r="H6" s="4"/>
      <c r="I6" s="4"/>
      <c r="J6" s="38"/>
    </row>
    <row r="7" spans="1:10" x14ac:dyDescent="0.2">
      <c r="A7" s="59"/>
      <c r="B7" s="30"/>
      <c r="C7" s="33"/>
      <c r="D7" s="8"/>
      <c r="E7" s="9">
        <f t="shared" si="1"/>
        <v>0</v>
      </c>
      <c r="F7" s="4">
        <f t="shared" si="2"/>
        <v>0</v>
      </c>
      <c r="G7" s="54">
        <f>SUM(H7:J7)</f>
        <v>0</v>
      </c>
      <c r="H7" s="4"/>
      <c r="I7" s="4"/>
      <c r="J7" s="38"/>
    </row>
    <row r="8" spans="1:10" x14ac:dyDescent="0.2">
      <c r="A8" s="59"/>
      <c r="B8" s="30"/>
      <c r="C8" s="33"/>
      <c r="D8" s="8"/>
      <c r="E8" s="9"/>
      <c r="F8" s="4">
        <f t="shared" si="2"/>
        <v>0</v>
      </c>
      <c r="G8" s="54">
        <f>SUM(H8:J8)</f>
        <v>0</v>
      </c>
      <c r="H8" s="4"/>
      <c r="I8" s="4"/>
      <c r="J8" s="38"/>
    </row>
    <row r="9" spans="1:10" s="12" customFormat="1" x14ac:dyDescent="0.2">
      <c r="A9" s="60" t="s">
        <v>13</v>
      </c>
      <c r="B9" s="31"/>
      <c r="C9" s="34"/>
      <c r="D9" s="10"/>
      <c r="E9" s="11">
        <f>SUM(E10:E16)</f>
        <v>145250</v>
      </c>
      <c r="F9" s="21">
        <f>SUM(F10:F16)</f>
        <v>94427</v>
      </c>
      <c r="G9" s="55">
        <f>SUM(G10:G16)</f>
        <v>50823</v>
      </c>
      <c r="H9" s="21">
        <f t="shared" ref="H9:I9" si="3">SUM(H10:H16)</f>
        <v>10000</v>
      </c>
      <c r="I9" s="21">
        <f t="shared" si="3"/>
        <v>13752</v>
      </c>
      <c r="J9" s="41">
        <f>SUM(J10:J13)</f>
        <v>27071</v>
      </c>
    </row>
    <row r="10" spans="1:10" x14ac:dyDescent="0.2">
      <c r="A10" s="59" t="s">
        <v>33</v>
      </c>
      <c r="B10" s="30" t="s">
        <v>10</v>
      </c>
      <c r="C10" s="33">
        <v>12</v>
      </c>
      <c r="D10" s="8">
        <v>3500</v>
      </c>
      <c r="E10" s="9">
        <f t="shared" si="1"/>
        <v>42000</v>
      </c>
      <c r="F10" s="4">
        <f>E10-G10</f>
        <v>42000</v>
      </c>
      <c r="G10" s="54">
        <f>SUM(H10:J10)</f>
        <v>0</v>
      </c>
      <c r="H10" s="4"/>
      <c r="I10" s="4"/>
      <c r="J10" s="40"/>
    </row>
    <row r="11" spans="1:10" x14ac:dyDescent="0.2">
      <c r="A11" s="59" t="s">
        <v>32</v>
      </c>
      <c r="B11" s="30" t="s">
        <v>10</v>
      </c>
      <c r="C11" s="33">
        <v>12</v>
      </c>
      <c r="D11" s="8">
        <f>((2500*7)+(2750*5))/12</f>
        <v>2604.1666666666665</v>
      </c>
      <c r="E11" s="9">
        <f t="shared" si="1"/>
        <v>31250</v>
      </c>
      <c r="F11" s="4">
        <f>E11-G11</f>
        <v>-1573</v>
      </c>
      <c r="G11" s="54">
        <f>SUM(H11:J11)</f>
        <v>32823</v>
      </c>
      <c r="H11" s="4">
        <v>10000</v>
      </c>
      <c r="I11" s="4">
        <f>1528*9</f>
        <v>13752</v>
      </c>
      <c r="J11" s="40">
        <v>9071</v>
      </c>
    </row>
    <row r="12" spans="1:10" x14ac:dyDescent="0.2">
      <c r="A12" s="59" t="s">
        <v>14</v>
      </c>
      <c r="B12" s="30" t="s">
        <v>10</v>
      </c>
      <c r="C12" s="33">
        <v>12</v>
      </c>
      <c r="D12" s="8">
        <v>1000</v>
      </c>
      <c r="E12" s="9">
        <f t="shared" si="1"/>
        <v>12000</v>
      </c>
      <c r="F12" s="4">
        <f>E12-G12</f>
        <v>-1500</v>
      </c>
      <c r="G12" s="54">
        <f>SUM(H12:J12)</f>
        <v>13500</v>
      </c>
      <c r="H12" s="4"/>
      <c r="I12" s="4"/>
      <c r="J12" s="40">
        <f>('[2]Sheet1 (2)'!$F$9/18)*12</f>
        <v>13500</v>
      </c>
    </row>
    <row r="13" spans="1:10" x14ac:dyDescent="0.2">
      <c r="A13" s="59" t="s">
        <v>15</v>
      </c>
      <c r="B13" s="30" t="s">
        <v>10</v>
      </c>
      <c r="C13" s="33">
        <v>12</v>
      </c>
      <c r="D13" s="8">
        <v>500</v>
      </c>
      <c r="E13" s="9">
        <f t="shared" si="1"/>
        <v>6000</v>
      </c>
      <c r="F13" s="4">
        <f>E13-G13</f>
        <v>1500</v>
      </c>
      <c r="G13" s="54">
        <f>SUM(H13:J13)</f>
        <v>4500</v>
      </c>
      <c r="H13" s="4"/>
      <c r="I13" s="4"/>
      <c r="J13" s="40">
        <f>('[2]Sheet1 (2)'!$F$10/18)*12</f>
        <v>4500</v>
      </c>
    </row>
    <row r="14" spans="1:10" s="13" customFormat="1" x14ac:dyDescent="0.2">
      <c r="A14" s="61" t="s">
        <v>16</v>
      </c>
      <c r="B14" s="35"/>
      <c r="C14" s="36"/>
      <c r="D14" s="14"/>
      <c r="E14" s="15"/>
      <c r="G14" s="56">
        <f>SUM(H14:I14)</f>
        <v>0</v>
      </c>
      <c r="J14" s="42"/>
    </row>
    <row r="15" spans="1:10" x14ac:dyDescent="0.2">
      <c r="A15" s="59" t="s">
        <v>17</v>
      </c>
      <c r="B15" s="30" t="s">
        <v>18</v>
      </c>
      <c r="C15" s="33">
        <v>1</v>
      </c>
      <c r="D15" s="8">
        <v>30000</v>
      </c>
      <c r="E15" s="9">
        <f t="shared" si="1"/>
        <v>30000</v>
      </c>
      <c r="F15" s="4">
        <f>E15-G15</f>
        <v>30000</v>
      </c>
      <c r="G15" s="54">
        <f>SUM(H15:I15)</f>
        <v>0</v>
      </c>
      <c r="H15" s="4"/>
      <c r="I15" s="4"/>
      <c r="J15" s="38"/>
    </row>
    <row r="16" spans="1:10" x14ac:dyDescent="0.2">
      <c r="A16" s="59" t="s">
        <v>19</v>
      </c>
      <c r="B16" s="30" t="s">
        <v>18</v>
      </c>
      <c r="C16" s="33">
        <v>12</v>
      </c>
      <c r="D16" s="8">
        <v>2000</v>
      </c>
      <c r="E16" s="9">
        <f t="shared" si="1"/>
        <v>24000</v>
      </c>
      <c r="F16" s="4">
        <f>E16-G16</f>
        <v>24000</v>
      </c>
      <c r="G16" s="54">
        <f>SUM(H16:I16)</f>
        <v>0</v>
      </c>
      <c r="H16" s="4"/>
      <c r="I16" s="4"/>
      <c r="J16" s="38"/>
    </row>
    <row r="17" spans="1:10" s="12" customFormat="1" x14ac:dyDescent="0.2">
      <c r="A17" s="60" t="s">
        <v>20</v>
      </c>
      <c r="B17" s="31"/>
      <c r="C17" s="34"/>
      <c r="D17" s="10"/>
      <c r="E17" s="11">
        <f t="shared" ref="E17:J17" si="4">SUM(E18:E19)</f>
        <v>79200</v>
      </c>
      <c r="F17" s="21">
        <f t="shared" si="4"/>
        <v>72720</v>
      </c>
      <c r="G17" s="55">
        <f t="shared" si="4"/>
        <v>6480</v>
      </c>
      <c r="H17" s="21">
        <f t="shared" si="4"/>
        <v>0</v>
      </c>
      <c r="I17" s="21">
        <f t="shared" si="4"/>
        <v>0</v>
      </c>
      <c r="J17" s="41">
        <f t="shared" si="4"/>
        <v>6480</v>
      </c>
    </row>
    <row r="18" spans="1:10" x14ac:dyDescent="0.2">
      <c r="A18" s="59" t="s">
        <v>21</v>
      </c>
      <c r="B18" s="30" t="s">
        <v>10</v>
      </c>
      <c r="C18" s="33">
        <v>12</v>
      </c>
      <c r="D18" s="8">
        <v>5400</v>
      </c>
      <c r="E18" s="9">
        <f t="shared" si="1"/>
        <v>64800</v>
      </c>
      <c r="F18" s="4">
        <f>E18-G18</f>
        <v>58320</v>
      </c>
      <c r="G18" s="54">
        <f>SUM(H18:J18)</f>
        <v>6480</v>
      </c>
      <c r="H18" s="4"/>
      <c r="I18" s="4"/>
      <c r="J18" s="40">
        <f>('[2]Sheet1 (2)'!$F$29/18)*12</f>
        <v>6480</v>
      </c>
    </row>
    <row r="19" spans="1:10" x14ac:dyDescent="0.2">
      <c r="A19" s="59" t="s">
        <v>22</v>
      </c>
      <c r="B19" s="30" t="s">
        <v>10</v>
      </c>
      <c r="C19" s="33">
        <v>12</v>
      </c>
      <c r="D19" s="8">
        <v>1200</v>
      </c>
      <c r="E19" s="9">
        <f t="shared" si="1"/>
        <v>14400</v>
      </c>
      <c r="F19" s="4">
        <f>E19-G19</f>
        <v>14400</v>
      </c>
      <c r="G19" s="54">
        <f>SUM(H19:J19)</f>
        <v>0</v>
      </c>
      <c r="H19" s="4"/>
      <c r="I19" s="4"/>
      <c r="J19" s="40"/>
    </row>
    <row r="20" spans="1:10" s="5" customFormat="1" x14ac:dyDescent="0.2">
      <c r="A20" s="60" t="s">
        <v>23</v>
      </c>
      <c r="B20" s="28"/>
      <c r="C20" s="29"/>
      <c r="D20" s="16"/>
      <c r="E20" s="17">
        <f>SUM(E21:E27)</f>
        <v>95000</v>
      </c>
      <c r="F20" s="22">
        <f>SUM(F21:F27)</f>
        <v>77700</v>
      </c>
      <c r="G20" s="46">
        <f>SUM(G21:G27)</f>
        <v>17300</v>
      </c>
      <c r="H20" s="22">
        <f t="shared" ref="H20:J20" si="5">SUM(H21:H27)</f>
        <v>0</v>
      </c>
      <c r="I20" s="22">
        <f t="shared" si="5"/>
        <v>9000</v>
      </c>
      <c r="J20" s="43">
        <f t="shared" si="5"/>
        <v>8300</v>
      </c>
    </row>
    <row r="21" spans="1:10" x14ac:dyDescent="0.2">
      <c r="A21" s="59" t="s">
        <v>24</v>
      </c>
      <c r="B21" s="30" t="s">
        <v>10</v>
      </c>
      <c r="C21" s="33">
        <v>12</v>
      </c>
      <c r="D21" s="8">
        <v>2000</v>
      </c>
      <c r="E21" s="9">
        <f t="shared" si="1"/>
        <v>24000</v>
      </c>
      <c r="F21" s="4">
        <f t="shared" ref="F21:F27" si="6">E21-G21</f>
        <v>22200</v>
      </c>
      <c r="G21" s="54">
        <f>SUM(H21:J21)</f>
        <v>1800</v>
      </c>
      <c r="H21" s="4"/>
      <c r="I21" s="4"/>
      <c r="J21" s="40">
        <v>1800</v>
      </c>
    </row>
    <row r="22" spans="1:10" x14ac:dyDescent="0.2">
      <c r="A22" s="59" t="s">
        <v>25</v>
      </c>
      <c r="B22" s="30" t="s">
        <v>10</v>
      </c>
      <c r="C22" s="33">
        <v>12</v>
      </c>
      <c r="D22" s="8">
        <v>1500</v>
      </c>
      <c r="E22" s="9">
        <f t="shared" si="1"/>
        <v>18000</v>
      </c>
      <c r="F22" s="4">
        <f t="shared" si="6"/>
        <v>15000</v>
      </c>
      <c r="G22" s="54">
        <f>SUM(H22:J22)</f>
        <v>3000</v>
      </c>
      <c r="H22" s="4"/>
      <c r="I22" s="4"/>
      <c r="J22" s="40">
        <v>3000</v>
      </c>
    </row>
    <row r="23" spans="1:10" x14ac:dyDescent="0.2">
      <c r="A23" s="59" t="s">
        <v>26</v>
      </c>
      <c r="B23" s="30" t="s">
        <v>18</v>
      </c>
      <c r="C23" s="33">
        <v>1</v>
      </c>
      <c r="D23" s="8">
        <v>3000</v>
      </c>
      <c r="E23" s="9">
        <f t="shared" si="1"/>
        <v>3000</v>
      </c>
      <c r="F23" s="4">
        <f t="shared" si="6"/>
        <v>3000</v>
      </c>
      <c r="G23" s="54">
        <f>SUM(H23:J23)</f>
        <v>0</v>
      </c>
      <c r="H23" s="4"/>
      <c r="I23" s="4"/>
      <c r="J23" s="40"/>
    </row>
    <row r="24" spans="1:10" x14ac:dyDescent="0.2">
      <c r="A24" s="59" t="s">
        <v>27</v>
      </c>
      <c r="B24" s="30" t="s">
        <v>18</v>
      </c>
      <c r="C24" s="33">
        <v>4</v>
      </c>
      <c r="D24" s="8">
        <v>1000</v>
      </c>
      <c r="E24" s="9">
        <f t="shared" si="1"/>
        <v>4000</v>
      </c>
      <c r="F24" s="4">
        <f t="shared" si="6"/>
        <v>4000</v>
      </c>
      <c r="G24" s="54">
        <f>SUM(H24:J24)</f>
        <v>0</v>
      </c>
      <c r="H24" s="4"/>
      <c r="I24" s="4"/>
      <c r="J24" s="38"/>
    </row>
    <row r="25" spans="1:10" x14ac:dyDescent="0.2">
      <c r="A25" s="59" t="s">
        <v>28</v>
      </c>
      <c r="B25" s="30" t="s">
        <v>18</v>
      </c>
      <c r="C25" s="33">
        <v>1</v>
      </c>
      <c r="D25" s="8">
        <v>5000</v>
      </c>
      <c r="E25" s="9">
        <f t="shared" si="1"/>
        <v>5000</v>
      </c>
      <c r="F25" s="4">
        <f t="shared" si="6"/>
        <v>5000</v>
      </c>
      <c r="G25" s="54">
        <f>SUM(H25:J25)</f>
        <v>0</v>
      </c>
      <c r="H25" s="4"/>
      <c r="I25" s="4"/>
      <c r="J25" s="40"/>
    </row>
    <row r="26" spans="1:10" x14ac:dyDescent="0.2">
      <c r="A26" s="59" t="s">
        <v>29</v>
      </c>
      <c r="B26" s="30" t="s">
        <v>10</v>
      </c>
      <c r="C26" s="33">
        <v>12</v>
      </c>
      <c r="D26" s="8">
        <v>3000</v>
      </c>
      <c r="E26" s="9">
        <f t="shared" si="1"/>
        <v>36000</v>
      </c>
      <c r="F26" s="4">
        <f t="shared" si="6"/>
        <v>23500</v>
      </c>
      <c r="G26" s="54">
        <f>SUM(H26:J26)</f>
        <v>12500</v>
      </c>
      <c r="H26" s="4"/>
      <c r="I26" s="4">
        <f>'[1]Final '!$G$22</f>
        <v>9000</v>
      </c>
      <c r="J26" s="40">
        <v>3500</v>
      </c>
    </row>
    <row r="27" spans="1:10" x14ac:dyDescent="0.2">
      <c r="A27" s="59" t="s">
        <v>30</v>
      </c>
      <c r="B27" s="30" t="s">
        <v>18</v>
      </c>
      <c r="C27" s="33">
        <v>1</v>
      </c>
      <c r="D27" s="8">
        <v>5000</v>
      </c>
      <c r="E27" s="9">
        <f t="shared" si="1"/>
        <v>5000</v>
      </c>
      <c r="F27" s="4">
        <f t="shared" si="6"/>
        <v>5000</v>
      </c>
      <c r="G27" s="54">
        <f>SUM(H27:J27)</f>
        <v>0</v>
      </c>
      <c r="H27" s="4"/>
      <c r="I27" s="4"/>
      <c r="J27" s="40"/>
    </row>
    <row r="28" spans="1:10" s="5" customFormat="1" ht="18" thickBot="1" x14ac:dyDescent="0.25">
      <c r="A28" s="23" t="s">
        <v>31</v>
      </c>
      <c r="B28" s="32"/>
      <c r="C28" s="37"/>
      <c r="D28" s="18"/>
      <c r="E28" s="19">
        <f t="shared" ref="E28:J28" si="7">E20+E17+E9+E3</f>
        <v>631450</v>
      </c>
      <c r="F28" s="24">
        <f t="shared" si="7"/>
        <v>491559</v>
      </c>
      <c r="G28" s="57">
        <f t="shared" si="7"/>
        <v>74603</v>
      </c>
      <c r="H28" s="44">
        <f t="shared" si="7"/>
        <v>35560</v>
      </c>
      <c r="I28" s="44">
        <f t="shared" si="7"/>
        <v>48312</v>
      </c>
      <c r="J28" s="45">
        <f t="shared" si="7"/>
        <v>56019</v>
      </c>
    </row>
    <row r="29" spans="1:10" x14ac:dyDescent="0.2">
      <c r="G29" s="58"/>
    </row>
    <row r="30" spans="1:10" x14ac:dyDescent="0.2">
      <c r="F30" s="4"/>
    </row>
    <row r="31" spans="1:10" x14ac:dyDescent="0.2">
      <c r="F31" s="4"/>
    </row>
    <row r="32" spans="1:10" x14ac:dyDescent="0.2">
      <c r="F32" s="4"/>
    </row>
  </sheetData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46CD2-F6DD-DE4C-BD21-017B56BFD288}">
  <dimension ref="A1:B3"/>
  <sheetViews>
    <sheetView workbookViewId="0">
      <selection activeCell="B2" sqref="B2"/>
    </sheetView>
  </sheetViews>
  <sheetFormatPr baseColWidth="10" defaultColWidth="11" defaultRowHeight="16" x14ac:dyDescent="0.2"/>
  <cols>
    <col min="2" max="2" width="20.33203125" customWidth="1"/>
  </cols>
  <sheetData>
    <row r="1" spans="1:2" x14ac:dyDescent="0.2">
      <c r="B1" t="s">
        <v>3</v>
      </c>
    </row>
    <row r="3" spans="1:2" x14ac:dyDescent="0.2">
      <c r="A3" t="s">
        <v>9</v>
      </c>
      <c r="B3">
        <v>38340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6eed3e6-46d3-4982-9a52-77b9f88a950f" xsi:nil="true"/>
    <lcf76f155ced4ddcb4097134ff3c332f xmlns="1992903e-44a0-434f-abaa-25872a393ae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3978FD413154468326E670F04C8B06" ma:contentTypeVersion="15" ma:contentTypeDescription="Create a new document." ma:contentTypeScope="" ma:versionID="d6c7966a600fceab322c09e85bd515c8">
  <xsd:schema xmlns:xsd="http://www.w3.org/2001/XMLSchema" xmlns:xs="http://www.w3.org/2001/XMLSchema" xmlns:p="http://schemas.microsoft.com/office/2006/metadata/properties" xmlns:ns2="d6eed3e6-46d3-4982-9a52-77b9f88a950f" xmlns:ns3="1992903e-44a0-434f-abaa-25872a393aed" targetNamespace="http://schemas.microsoft.com/office/2006/metadata/properties" ma:root="true" ma:fieldsID="205431ccfe2104b105e6ef5f96889c8a" ns2:_="" ns3:_="">
    <xsd:import namespace="d6eed3e6-46d3-4982-9a52-77b9f88a950f"/>
    <xsd:import namespace="1992903e-44a0-434f-abaa-25872a393ae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eed3e6-46d3-4982-9a52-77b9f88a950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2a7b472-6be5-406d-bbd5-0a2d8832cdc6}" ma:internalName="TaxCatchAll" ma:showField="CatchAllData" ma:web="d6eed3e6-46d3-4982-9a52-77b9f88a95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92903e-44a0-434f-abaa-25872a393a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9ed0b52-a196-47b6-8260-1695e52813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4BAC34-3173-4FDE-8EC1-0464D504FA79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1992903e-44a0-434f-abaa-25872a393aed"/>
    <ds:schemaRef ds:uri="http://www.w3.org/XML/1998/namespace"/>
    <ds:schemaRef ds:uri="http://purl.org/dc/dcmitype/"/>
    <ds:schemaRef ds:uri="http://schemas.openxmlformats.org/package/2006/metadata/core-properties"/>
    <ds:schemaRef ds:uri="d6eed3e6-46d3-4982-9a52-77b9f88a950f"/>
  </ds:schemaRefs>
</ds:datastoreItem>
</file>

<file path=customXml/itemProps2.xml><?xml version="1.0" encoding="utf-8"?>
<ds:datastoreItem xmlns:ds="http://schemas.openxmlformats.org/officeDocument/2006/customXml" ds:itemID="{348010FA-20AC-4417-B52D-470FBB4C58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eed3e6-46d3-4982-9a52-77b9f88a950f"/>
    <ds:schemaRef ds:uri="1992903e-44a0-434f-abaa-25872a393a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5C9145C-C613-4EB2-AE18-B4D251195C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Eva  Buzo</dc:creator>
  <cp:keywords/>
  <dc:description/>
  <cp:lastModifiedBy>Eva  Buzo</cp:lastModifiedBy>
  <cp:revision/>
  <dcterms:created xsi:type="dcterms:W3CDTF">2025-09-01T09:22:58Z</dcterms:created>
  <dcterms:modified xsi:type="dcterms:W3CDTF">2025-12-03T22:51:51Z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0x0101005A3978FD413154468326E670F04C8B06</vt:lpwstr>
  </property>
  <property fmtid="{D5CDD505-2E9C-101B-9397-08002B2CF9AE}" pid="3" name="MediaServiceImageTags">
    <vt:lpwstr/>
  </property>
</Properties>
</file>